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___SELE19142_lokal-2\_HS12\lastber_komposit1\"/>
    </mc:Choice>
  </mc:AlternateContent>
  <bookViews>
    <workbookView xWindow="0" yWindow="72" windowWidth="22980" windowHeight="9276" activeTab="3"/>
  </bookViews>
  <sheets>
    <sheet name="Sag-Tension" sheetId="1" r:id="rId1"/>
    <sheet name="Sag-Tension print" sheetId="2" r:id="rId2"/>
    <sheet name="Regleringstabell" sheetId="5" r:id="rId3"/>
    <sheet name="LoadCalcData" sheetId="9" r:id="rId4"/>
    <sheet name="Conductors SS-EN 50341-3-18" sheetId="3" r:id="rId5"/>
    <sheet name="Loadcases" sheetId="7" r:id="rId6"/>
  </sheets>
  <functionGroups builtInGroupCount="18"/>
  <definedNames>
    <definedName name="_xlnm.Print_Area" localSheetId="2">Regleringstabell!$A$1:$M$64</definedName>
    <definedName name="_xlnm.Print_Area" localSheetId="1">'Sag-Tension print'!$A$1:$X$49</definedName>
  </definedNames>
  <calcPr calcId="171027"/>
</workbook>
</file>

<file path=xl/calcChain.xml><?xml version="1.0" encoding="utf-8"?>
<calcChain xmlns="http://schemas.openxmlformats.org/spreadsheetml/2006/main">
  <c r="C1" i="9" l="1"/>
  <c r="H1" i="9"/>
  <c r="C2" i="9"/>
  <c r="C3" i="9"/>
  <c r="C4" i="9"/>
  <c r="C5" i="9"/>
  <c r="C6" i="9"/>
  <c r="C7" i="9"/>
  <c r="C8" i="9"/>
  <c r="C9" i="9"/>
  <c r="C10" i="9"/>
  <c r="C11" i="9"/>
  <c r="C12" i="9"/>
  <c r="C13" i="9"/>
  <c r="H13" i="9"/>
  <c r="C14" i="9"/>
  <c r="H14" i="9"/>
  <c r="C15" i="9"/>
  <c r="H15" i="9"/>
  <c r="C16" i="9"/>
  <c r="C17" i="9"/>
  <c r="B19" i="9"/>
  <c r="C19" i="9"/>
  <c r="D19" i="9"/>
  <c r="E19" i="9"/>
  <c r="F19" i="9"/>
  <c r="G19" i="9"/>
  <c r="H19" i="9"/>
  <c r="I19" i="9"/>
  <c r="J19" i="9"/>
  <c r="K19" i="9"/>
  <c r="L19" i="9"/>
  <c r="M19" i="9"/>
  <c r="N19" i="9"/>
  <c r="O19" i="9"/>
  <c r="P19" i="9"/>
  <c r="Q19" i="9"/>
  <c r="R19" i="9"/>
  <c r="S19" i="9"/>
  <c r="T19" i="9"/>
  <c r="U19" i="9"/>
  <c r="V19" i="9"/>
  <c r="W19" i="9"/>
  <c r="X19" i="9"/>
  <c r="B20" i="9"/>
  <c r="C20" i="9"/>
  <c r="D20" i="9"/>
  <c r="E20" i="9"/>
  <c r="F20" i="9"/>
  <c r="G20" i="9"/>
  <c r="H20" i="9"/>
  <c r="I20" i="9"/>
  <c r="J20" i="9"/>
  <c r="K20" i="9"/>
  <c r="L20" i="9"/>
  <c r="M20" i="9"/>
  <c r="N20" i="9"/>
  <c r="O20" i="9"/>
  <c r="P20" i="9"/>
  <c r="Q20" i="9"/>
  <c r="R20" i="9"/>
  <c r="S20" i="9"/>
  <c r="T20" i="9"/>
  <c r="U20" i="9"/>
  <c r="V20" i="9"/>
  <c r="W20" i="9"/>
  <c r="X20" i="9"/>
  <c r="B21" i="9"/>
  <c r="C21" i="9"/>
  <c r="D21" i="9"/>
  <c r="E21" i="9"/>
  <c r="F21" i="9"/>
  <c r="G21" i="9"/>
  <c r="H21" i="9"/>
  <c r="I21" i="9"/>
  <c r="J21" i="9"/>
  <c r="K21" i="9"/>
  <c r="L21" i="9"/>
  <c r="M21" i="9"/>
  <c r="N21" i="9"/>
  <c r="O21" i="9"/>
  <c r="P21" i="9"/>
  <c r="Q21" i="9"/>
  <c r="R21" i="9"/>
  <c r="S21" i="9"/>
  <c r="T21" i="9"/>
  <c r="U21" i="9"/>
  <c r="V21" i="9"/>
  <c r="W21" i="9"/>
  <c r="X21" i="9"/>
  <c r="B22" i="9"/>
  <c r="C22" i="9"/>
  <c r="D22" i="9"/>
  <c r="E22" i="9"/>
  <c r="F22" i="9"/>
  <c r="G22" i="9"/>
  <c r="H22" i="9"/>
  <c r="I22" i="9"/>
  <c r="J22" i="9"/>
  <c r="K22" i="9"/>
  <c r="L22" i="9"/>
  <c r="M22" i="9"/>
  <c r="N22" i="9"/>
  <c r="O22" i="9"/>
  <c r="P22" i="9"/>
  <c r="Q22" i="9"/>
  <c r="R22" i="9"/>
  <c r="S22" i="9"/>
  <c r="T22" i="9"/>
  <c r="U22" i="9"/>
  <c r="V22" i="9"/>
  <c r="W22" i="9"/>
  <c r="X22" i="9"/>
  <c r="B23" i="9"/>
  <c r="C23" i="9"/>
  <c r="D23" i="9"/>
  <c r="E23" i="9"/>
  <c r="F23" i="9"/>
  <c r="G23" i="9"/>
  <c r="H23" i="9"/>
  <c r="I23" i="9"/>
  <c r="J23" i="9"/>
  <c r="K23" i="9"/>
  <c r="L23" i="9"/>
  <c r="M23" i="9"/>
  <c r="N23" i="9"/>
  <c r="O23" i="9"/>
  <c r="P23" i="9"/>
  <c r="Q23" i="9"/>
  <c r="R23" i="9"/>
  <c r="S23" i="9"/>
  <c r="T23" i="9"/>
  <c r="U23" i="9"/>
  <c r="V23" i="9"/>
  <c r="W23" i="9"/>
  <c r="X23" i="9"/>
  <c r="B24" i="9"/>
  <c r="C24" i="9"/>
  <c r="D24" i="9"/>
  <c r="E24" i="9"/>
  <c r="F24" i="9"/>
  <c r="G24" i="9"/>
  <c r="H24" i="9"/>
  <c r="I24" i="9"/>
  <c r="J24" i="9"/>
  <c r="K24" i="9"/>
  <c r="L24" i="9"/>
  <c r="M24" i="9"/>
  <c r="N24" i="9"/>
  <c r="O24" i="9"/>
  <c r="P24" i="9"/>
  <c r="Q24" i="9"/>
  <c r="R24" i="9"/>
  <c r="S24" i="9"/>
  <c r="T24" i="9"/>
  <c r="U24" i="9"/>
  <c r="V24" i="9"/>
  <c r="W24" i="9"/>
  <c r="X24" i="9"/>
  <c r="B25" i="9"/>
  <c r="C25" i="9"/>
  <c r="D25" i="9"/>
  <c r="E25" i="9"/>
  <c r="F25" i="9"/>
  <c r="G25" i="9"/>
  <c r="H25" i="9"/>
  <c r="I25" i="9"/>
  <c r="J25" i="9"/>
  <c r="K25" i="9"/>
  <c r="L25" i="9"/>
  <c r="M25" i="9"/>
  <c r="N25" i="9"/>
  <c r="O25" i="9"/>
  <c r="P25" i="9"/>
  <c r="Q25" i="9"/>
  <c r="R25" i="9"/>
  <c r="S25" i="9"/>
  <c r="T25" i="9"/>
  <c r="U25" i="9"/>
  <c r="V25" i="9"/>
  <c r="W25" i="9"/>
  <c r="X25" i="9"/>
  <c r="B26" i="9"/>
  <c r="C26" i="9"/>
  <c r="D26" i="9"/>
  <c r="E26" i="9"/>
  <c r="F26" i="9"/>
  <c r="G26" i="9"/>
  <c r="H26" i="9"/>
  <c r="I26" i="9"/>
  <c r="J26" i="9"/>
  <c r="K26" i="9"/>
  <c r="L26" i="9"/>
  <c r="M26" i="9"/>
  <c r="N26" i="9"/>
  <c r="O26" i="9"/>
  <c r="P26" i="9"/>
  <c r="Q26" i="9"/>
  <c r="R26" i="9"/>
  <c r="S26" i="9"/>
  <c r="T26" i="9"/>
  <c r="U26" i="9"/>
  <c r="V26" i="9"/>
  <c r="W26" i="9"/>
  <c r="X26" i="9"/>
  <c r="B27" i="9"/>
  <c r="C27" i="9"/>
  <c r="D27" i="9"/>
  <c r="E27" i="9"/>
  <c r="F27" i="9"/>
  <c r="G27" i="9"/>
  <c r="H27" i="9"/>
  <c r="I27" i="9"/>
  <c r="J27" i="9"/>
  <c r="K27" i="9"/>
  <c r="L27" i="9"/>
  <c r="M27" i="9"/>
  <c r="N27" i="9"/>
  <c r="O27" i="9"/>
  <c r="P27" i="9"/>
  <c r="Q27" i="9"/>
  <c r="R27" i="9"/>
  <c r="S27" i="9"/>
  <c r="T27" i="9"/>
  <c r="U27" i="9"/>
  <c r="V27" i="9"/>
  <c r="W27" i="9"/>
  <c r="X27" i="9"/>
  <c r="B28" i="9"/>
  <c r="C28" i="9"/>
  <c r="D28" i="9"/>
  <c r="E28" i="9"/>
  <c r="F28" i="9"/>
  <c r="G28" i="9"/>
  <c r="H28" i="9"/>
  <c r="I28" i="9"/>
  <c r="J28" i="9"/>
  <c r="K28" i="9"/>
  <c r="L28" i="9"/>
  <c r="M28" i="9"/>
  <c r="N28" i="9"/>
  <c r="O28" i="9"/>
  <c r="P28" i="9"/>
  <c r="Q28" i="9"/>
  <c r="R28" i="9"/>
  <c r="S28" i="9"/>
  <c r="T28" i="9"/>
  <c r="U28" i="9"/>
  <c r="V28" i="9"/>
  <c r="W28" i="9"/>
  <c r="X28" i="9"/>
  <c r="B29" i="9"/>
  <c r="C29" i="9"/>
  <c r="D29" i="9"/>
  <c r="E29" i="9"/>
  <c r="F29" i="9"/>
  <c r="G29" i="9"/>
  <c r="H29" i="9"/>
  <c r="I29" i="9"/>
  <c r="J29" i="9"/>
  <c r="K29" i="9"/>
  <c r="L29" i="9"/>
  <c r="M29" i="9"/>
  <c r="N29" i="9"/>
  <c r="O29" i="9"/>
  <c r="P29" i="9"/>
  <c r="Q29" i="9"/>
  <c r="R29" i="9"/>
  <c r="S29" i="9"/>
  <c r="T29" i="9"/>
  <c r="U29" i="9"/>
  <c r="V29" i="9"/>
  <c r="W29" i="9"/>
  <c r="X29" i="9"/>
  <c r="B30" i="9"/>
  <c r="C30" i="9"/>
  <c r="D30" i="9"/>
  <c r="E30" i="9"/>
  <c r="F30" i="9"/>
  <c r="G30" i="9"/>
  <c r="H30" i="9"/>
  <c r="I30" i="9"/>
  <c r="J30" i="9"/>
  <c r="K30" i="9"/>
  <c r="L30" i="9"/>
  <c r="M30" i="9"/>
  <c r="N30" i="9"/>
  <c r="O30" i="9"/>
  <c r="P30" i="9"/>
  <c r="Q30" i="9"/>
  <c r="R30" i="9"/>
  <c r="S30" i="9"/>
  <c r="T30" i="9"/>
  <c r="U30" i="9"/>
  <c r="V30" i="9"/>
  <c r="W30" i="9"/>
  <c r="X30" i="9"/>
  <c r="B31" i="9"/>
  <c r="C31" i="9"/>
  <c r="D31" i="9"/>
  <c r="E31" i="9"/>
  <c r="F31" i="9"/>
  <c r="G31" i="9"/>
  <c r="H31" i="9"/>
  <c r="I31" i="9"/>
  <c r="J31" i="9"/>
  <c r="K31" i="9"/>
  <c r="L31" i="9"/>
  <c r="M31" i="9"/>
  <c r="N31" i="9"/>
  <c r="O31" i="9"/>
  <c r="P31" i="9"/>
  <c r="Q31" i="9"/>
  <c r="R31" i="9"/>
  <c r="S31" i="9"/>
  <c r="T31" i="9"/>
  <c r="U31" i="9"/>
  <c r="V31" i="9"/>
  <c r="W31" i="9"/>
  <c r="X31" i="9"/>
  <c r="O11" i="2" l="1"/>
  <c r="BO9" i="7"/>
  <c r="BN9" i="7"/>
  <c r="BO8" i="7"/>
  <c r="BN8" i="7"/>
  <c r="BM7" i="7"/>
  <c r="BL7" i="7"/>
  <c r="BM11" i="7"/>
  <c r="BL11" i="7"/>
  <c r="BM9" i="7"/>
  <c r="BL9" i="7"/>
  <c r="BD16" i="7"/>
  <c r="BC16" i="7"/>
  <c r="BD19" i="7"/>
  <c r="BC19" i="7"/>
  <c r="BD18" i="7"/>
  <c r="BC18" i="7"/>
  <c r="BD17" i="7"/>
  <c r="BC17" i="7"/>
  <c r="BD15" i="7"/>
  <c r="BC15" i="7"/>
  <c r="BD14" i="7"/>
  <c r="BC14" i="7"/>
  <c r="BD13" i="7"/>
  <c r="BC13" i="7"/>
  <c r="BD12" i="7"/>
  <c r="BC12" i="7"/>
  <c r="BD11" i="7"/>
  <c r="BC11" i="7"/>
  <c r="BD10" i="7"/>
  <c r="BC10" i="7"/>
  <c r="BD9" i="7"/>
  <c r="BC9" i="7"/>
  <c r="BD8" i="7"/>
  <c r="BC8" i="7"/>
  <c r="BF15" i="7"/>
  <c r="BE15" i="7"/>
  <c r="BF14" i="7"/>
  <c r="BE14" i="7"/>
  <c r="BF13" i="7"/>
  <c r="BE13" i="7"/>
  <c r="BF12" i="7"/>
  <c r="BE12" i="7"/>
  <c r="BH6" i="7"/>
  <c r="AP22" i="7"/>
  <c r="AP6" i="7"/>
  <c r="AP14" i="7"/>
  <c r="AP10" i="7"/>
  <c r="AY6" i="7"/>
  <c r="BH11" i="7"/>
  <c r="BH10" i="7"/>
  <c r="BZ6" i="7"/>
  <c r="BQ6" i="7"/>
  <c r="CG5" i="7"/>
  <c r="CF5" i="7"/>
  <c r="BX5" i="7"/>
  <c r="BW5" i="7"/>
  <c r="BO5" i="7"/>
  <c r="BN5" i="7"/>
  <c r="BF5" i="7"/>
  <c r="BE5" i="7"/>
  <c r="AW18" i="7"/>
  <c r="AV18" i="7"/>
  <c r="AW17" i="7"/>
  <c r="AV17" i="7"/>
  <c r="AW8" i="7"/>
  <c r="AV8" i="7"/>
  <c r="AW7" i="7"/>
  <c r="AV7" i="7"/>
  <c r="AU20" i="7"/>
  <c r="AT20" i="7"/>
  <c r="AU19" i="7"/>
  <c r="AT19" i="7"/>
  <c r="AU12" i="7"/>
  <c r="AT12" i="7"/>
  <c r="AU11" i="7"/>
  <c r="AT11" i="7"/>
  <c r="AU10" i="7"/>
  <c r="AT10" i="7"/>
  <c r="AU9" i="7"/>
  <c r="AT9" i="7"/>
  <c r="AU8" i="7"/>
  <c r="AT8" i="7"/>
  <c r="AU7" i="7"/>
  <c r="AT7" i="7"/>
  <c r="AW5" i="7"/>
  <c r="AV5" i="7"/>
  <c r="AN5" i="7"/>
  <c r="AM5" i="7"/>
  <c r="AE11" i="7"/>
  <c r="AD11" i="7"/>
  <c r="AE10" i="7"/>
  <c r="AD10" i="7"/>
  <c r="AE9" i="7"/>
  <c r="AD9" i="7"/>
  <c r="AE8" i="7"/>
  <c r="AD8" i="7"/>
  <c r="AE5" i="7"/>
  <c r="AD5" i="7"/>
  <c r="AC19" i="7"/>
  <c r="AB19" i="7"/>
  <c r="AC18" i="7"/>
  <c r="AB18" i="7"/>
  <c r="AC17" i="7"/>
  <c r="AB17" i="7"/>
  <c r="AC16" i="7"/>
  <c r="AB16" i="7"/>
  <c r="AC15" i="7"/>
  <c r="AB15" i="7"/>
  <c r="AC14" i="7"/>
  <c r="AB14" i="7"/>
  <c r="AC13" i="7"/>
  <c r="AB13" i="7"/>
  <c r="AC12" i="7"/>
  <c r="AB12" i="7"/>
  <c r="AC11" i="7"/>
  <c r="AB11" i="7"/>
  <c r="AC10" i="7"/>
  <c r="AB10" i="7"/>
  <c r="AC9" i="7"/>
  <c r="AB9" i="7"/>
  <c r="AC8" i="7"/>
  <c r="AB8" i="7"/>
  <c r="V16" i="7"/>
  <c r="U16" i="7"/>
  <c r="V15" i="7"/>
  <c r="U15" i="7"/>
  <c r="V11" i="7"/>
  <c r="U11" i="7"/>
  <c r="V10" i="7"/>
  <c r="U10" i="7"/>
  <c r="U5" i="7"/>
  <c r="V5" i="7"/>
  <c r="T17" i="7"/>
  <c r="S17" i="7"/>
  <c r="T12" i="7"/>
  <c r="S12" i="7"/>
  <c r="T20" i="7"/>
  <c r="S20" i="7"/>
  <c r="T19" i="7"/>
  <c r="S19" i="7"/>
  <c r="T16" i="7"/>
  <c r="S16" i="7"/>
  <c r="T11" i="7"/>
  <c r="S11" i="7"/>
  <c r="T9" i="7"/>
  <c r="T8" i="7"/>
  <c r="S9" i="7"/>
  <c r="S8" i="7"/>
  <c r="B8" i="2" l="1"/>
  <c r="G13" i="2"/>
  <c r="G12" i="2"/>
  <c r="G11" i="2"/>
  <c r="O9" i="2"/>
  <c r="O10" i="2"/>
  <c r="O12" i="2"/>
  <c r="O13" i="2"/>
  <c r="O14" i="2"/>
  <c r="O15" i="2"/>
  <c r="O16" i="2"/>
  <c r="O17" i="2"/>
  <c r="O18" i="2"/>
  <c r="O8" i="2"/>
  <c r="G17" i="2"/>
  <c r="G18" i="2"/>
  <c r="U18" i="2" l="1"/>
  <c r="U17" i="2"/>
  <c r="C7" i="7" l="1"/>
  <c r="C2" i="5"/>
  <c r="Q98" i="3" l="1"/>
  <c r="P98" i="3"/>
  <c r="G98" i="3" s="1"/>
  <c r="M98" i="3"/>
  <c r="Q97" i="3"/>
  <c r="P97" i="3"/>
  <c r="M97" i="3"/>
  <c r="G97" i="3"/>
  <c r="X15" i="7" l="1"/>
  <c r="X14" i="7"/>
  <c r="O8" i="7"/>
  <c r="X21" i="7"/>
  <c r="O7" i="7"/>
  <c r="AG6" i="7"/>
  <c r="X6" i="7"/>
  <c r="O6" i="7"/>
  <c r="C31" i="7" l="1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6" i="7"/>
  <c r="C5" i="7"/>
  <c r="C4" i="7"/>
  <c r="C3" i="7"/>
  <c r="C2" i="7"/>
  <c r="C1" i="7"/>
  <c r="C108" i="3" l="1"/>
  <c r="C107" i="3"/>
  <c r="C106" i="3"/>
  <c r="C105" i="3"/>
  <c r="C104" i="3"/>
  <c r="C103" i="3"/>
  <c r="C102" i="3"/>
  <c r="C101" i="3"/>
  <c r="C100" i="3"/>
  <c r="C99" i="3"/>
  <c r="Q96" i="3"/>
  <c r="M96" i="3"/>
  <c r="C96" i="3"/>
  <c r="Q95" i="3"/>
  <c r="P95" i="3"/>
  <c r="G95" i="3" s="1"/>
  <c r="M95" i="3"/>
  <c r="C95" i="3"/>
  <c r="Q94" i="3"/>
  <c r="P94" i="3"/>
  <c r="G94" i="3" s="1"/>
  <c r="M94" i="3"/>
  <c r="C94" i="3"/>
  <c r="Q93" i="3"/>
  <c r="P93" i="3"/>
  <c r="G93" i="3" s="1"/>
  <c r="M93" i="3"/>
  <c r="C93" i="3"/>
  <c r="Q92" i="3"/>
  <c r="P92" i="3"/>
  <c r="G92" i="3" s="1"/>
  <c r="M92" i="3"/>
  <c r="C92" i="3"/>
  <c r="Q91" i="3"/>
  <c r="P91" i="3"/>
  <c r="G91" i="3" s="1"/>
  <c r="M91" i="3"/>
  <c r="C91" i="3"/>
  <c r="Q90" i="3"/>
  <c r="P90" i="3"/>
  <c r="G90" i="3" s="1"/>
  <c r="M90" i="3"/>
  <c r="C90" i="3"/>
  <c r="Q89" i="3"/>
  <c r="P89" i="3"/>
  <c r="G89" i="3" s="1"/>
  <c r="M89" i="3"/>
  <c r="C89" i="3"/>
  <c r="Q88" i="3"/>
  <c r="P88" i="3"/>
  <c r="G88" i="3" s="1"/>
  <c r="M88" i="3"/>
  <c r="C88" i="3"/>
  <c r="P87" i="3"/>
  <c r="G87" i="3" s="1"/>
  <c r="M87" i="3"/>
  <c r="F87" i="3"/>
  <c r="C87" i="3"/>
  <c r="P86" i="3"/>
  <c r="G86" i="3" s="1"/>
  <c r="M86" i="3"/>
  <c r="F86" i="3"/>
  <c r="C86" i="3"/>
  <c r="P85" i="3"/>
  <c r="G85" i="3" s="1"/>
  <c r="M85" i="3"/>
  <c r="F85" i="3"/>
  <c r="C85" i="3"/>
  <c r="Q84" i="3"/>
  <c r="P84" i="3"/>
  <c r="G84" i="3" s="1"/>
  <c r="M84" i="3"/>
  <c r="C84" i="3"/>
  <c r="Q83" i="3"/>
  <c r="P83" i="3"/>
  <c r="G83" i="3" s="1"/>
  <c r="M83" i="3"/>
  <c r="C83" i="3"/>
  <c r="Q82" i="3"/>
  <c r="P82" i="3"/>
  <c r="G82" i="3" s="1"/>
  <c r="M82" i="3"/>
  <c r="C82" i="3"/>
  <c r="P81" i="3"/>
  <c r="G81" i="3" s="1"/>
  <c r="M81" i="3"/>
  <c r="F81" i="3"/>
  <c r="C81" i="3"/>
  <c r="Q80" i="3"/>
  <c r="P80" i="3"/>
  <c r="G80" i="3" s="1"/>
  <c r="M80" i="3"/>
  <c r="C80" i="3"/>
  <c r="Q79" i="3"/>
  <c r="M79" i="3"/>
  <c r="C79" i="3"/>
  <c r="Q78" i="3"/>
  <c r="M78" i="3"/>
  <c r="C78" i="3"/>
  <c r="P77" i="3"/>
  <c r="G77" i="3" s="1"/>
  <c r="M77" i="3"/>
  <c r="F77" i="3"/>
  <c r="C77" i="3"/>
  <c r="Q76" i="3"/>
  <c r="M76" i="3"/>
  <c r="C76" i="3"/>
  <c r="Q75" i="3"/>
  <c r="P75" i="3"/>
  <c r="G75" i="3" s="1"/>
  <c r="M75" i="3"/>
  <c r="C75" i="3"/>
  <c r="Q74" i="3"/>
  <c r="M74" i="3"/>
  <c r="C74" i="3"/>
  <c r="Q73" i="3"/>
  <c r="M73" i="3"/>
  <c r="C73" i="3"/>
  <c r="Q72" i="3"/>
  <c r="P72" i="3"/>
  <c r="M72" i="3"/>
  <c r="C72" i="3"/>
  <c r="Q71" i="3"/>
  <c r="P71" i="3"/>
  <c r="M71" i="3"/>
  <c r="C71" i="3"/>
  <c r="Q70" i="3"/>
  <c r="P70" i="3"/>
  <c r="M70" i="3"/>
  <c r="C70" i="3"/>
  <c r="Q69" i="3"/>
  <c r="P69" i="3"/>
  <c r="M69" i="3"/>
  <c r="C69" i="3"/>
  <c r="Q68" i="3"/>
  <c r="P68" i="3"/>
  <c r="M68" i="3"/>
  <c r="C68" i="3"/>
  <c r="Q67" i="3"/>
  <c r="P67" i="3"/>
  <c r="M67" i="3"/>
  <c r="C67" i="3"/>
  <c r="Q66" i="3"/>
  <c r="P66" i="3"/>
  <c r="M66" i="3"/>
  <c r="C66" i="3"/>
  <c r="Q65" i="3"/>
  <c r="P65" i="3"/>
  <c r="M65" i="3"/>
  <c r="C65" i="3"/>
  <c r="Q64" i="3"/>
  <c r="P64" i="3"/>
  <c r="M64" i="3"/>
  <c r="C64" i="3"/>
  <c r="Q63" i="3"/>
  <c r="P63" i="3"/>
  <c r="M63" i="3"/>
  <c r="C63" i="3"/>
  <c r="Q62" i="3"/>
  <c r="P62" i="3"/>
  <c r="M62" i="3"/>
  <c r="C62" i="3"/>
  <c r="Q61" i="3"/>
  <c r="P61" i="3"/>
  <c r="M61" i="3"/>
  <c r="C61" i="3"/>
  <c r="Q60" i="3"/>
  <c r="P60" i="3"/>
  <c r="M60" i="3"/>
  <c r="C60" i="3"/>
  <c r="Q59" i="3"/>
  <c r="P59" i="3"/>
  <c r="M59" i="3"/>
  <c r="C59" i="3"/>
  <c r="Q58" i="3"/>
  <c r="P58" i="3"/>
  <c r="G58" i="3" s="1"/>
  <c r="M58" i="3"/>
  <c r="C58" i="3"/>
  <c r="Q57" i="3"/>
  <c r="P57" i="3"/>
  <c r="G57" i="3" s="1"/>
  <c r="M57" i="3"/>
  <c r="C57" i="3"/>
  <c r="Q56" i="3"/>
  <c r="P56" i="3"/>
  <c r="G56" i="3" s="1"/>
  <c r="M56" i="3"/>
  <c r="C56" i="3"/>
  <c r="Q55" i="3"/>
  <c r="P55" i="3"/>
  <c r="G55" i="3" s="1"/>
  <c r="M55" i="3"/>
  <c r="C55" i="3"/>
  <c r="Q54" i="3"/>
  <c r="P54" i="3"/>
  <c r="G54" i="3" s="1"/>
  <c r="M54" i="3"/>
  <c r="C54" i="3"/>
  <c r="Q53" i="3"/>
  <c r="P53" i="3"/>
  <c r="G53" i="3" s="1"/>
  <c r="M53" i="3"/>
  <c r="C53" i="3"/>
  <c r="Q52" i="3"/>
  <c r="P52" i="3"/>
  <c r="G52" i="3" s="1"/>
  <c r="M52" i="3"/>
  <c r="C52" i="3"/>
  <c r="Q51" i="3"/>
  <c r="P51" i="3"/>
  <c r="G51" i="3" s="1"/>
  <c r="M51" i="3"/>
  <c r="C51" i="3"/>
  <c r="Q50" i="3"/>
  <c r="P50" i="3"/>
  <c r="G50" i="3" s="1"/>
  <c r="M50" i="3"/>
  <c r="C50" i="3"/>
  <c r="Q49" i="3"/>
  <c r="P49" i="3"/>
  <c r="G49" i="3" s="1"/>
  <c r="M49" i="3"/>
  <c r="C49" i="3"/>
  <c r="Q48" i="3"/>
  <c r="P48" i="3"/>
  <c r="G48" i="3" s="1"/>
  <c r="M48" i="3"/>
  <c r="C48" i="3"/>
  <c r="Q47" i="3"/>
  <c r="P47" i="3"/>
  <c r="G47" i="3" s="1"/>
  <c r="M47" i="3"/>
  <c r="C47" i="3"/>
  <c r="Q46" i="3"/>
  <c r="P46" i="3"/>
  <c r="G46" i="3" s="1"/>
  <c r="M46" i="3"/>
  <c r="C46" i="3"/>
  <c r="Q45" i="3"/>
  <c r="P45" i="3"/>
  <c r="G45" i="3" s="1"/>
  <c r="M45" i="3"/>
  <c r="C45" i="3"/>
  <c r="Q44" i="3"/>
  <c r="P44" i="3"/>
  <c r="G44" i="3" s="1"/>
  <c r="M44" i="3"/>
  <c r="C44" i="3"/>
  <c r="Q43" i="3"/>
  <c r="P43" i="3"/>
  <c r="G43" i="3" s="1"/>
  <c r="M43" i="3"/>
  <c r="C43" i="3"/>
  <c r="Q42" i="3"/>
  <c r="P42" i="3"/>
  <c r="G42" i="3" s="1"/>
  <c r="M42" i="3"/>
  <c r="C42" i="3"/>
  <c r="Q41" i="3"/>
  <c r="P41" i="3"/>
  <c r="G41" i="3" s="1"/>
  <c r="M41" i="3"/>
  <c r="C41" i="3"/>
  <c r="Q40" i="3"/>
  <c r="P40" i="3"/>
  <c r="G40" i="3" s="1"/>
  <c r="M40" i="3"/>
  <c r="C40" i="3"/>
  <c r="Q39" i="3"/>
  <c r="P39" i="3"/>
  <c r="G39" i="3" s="1"/>
  <c r="M39" i="3"/>
  <c r="C39" i="3"/>
  <c r="Q38" i="3"/>
  <c r="P38" i="3"/>
  <c r="G38" i="3" s="1"/>
  <c r="M38" i="3"/>
  <c r="C38" i="3"/>
  <c r="Q37" i="3"/>
  <c r="P37" i="3"/>
  <c r="G37" i="3" s="1"/>
  <c r="M37" i="3"/>
  <c r="C37" i="3"/>
  <c r="Q36" i="3"/>
  <c r="P36" i="3"/>
  <c r="G36" i="3" s="1"/>
  <c r="M36" i="3"/>
  <c r="C36" i="3"/>
  <c r="Q35" i="3"/>
  <c r="P35" i="3"/>
  <c r="G35" i="3" s="1"/>
  <c r="M35" i="3"/>
  <c r="C35" i="3"/>
  <c r="Q34" i="3"/>
  <c r="P34" i="3"/>
  <c r="G34" i="3" s="1"/>
  <c r="M34" i="3"/>
  <c r="C34" i="3"/>
  <c r="Q33" i="3"/>
  <c r="P33" i="3"/>
  <c r="G33" i="3" s="1"/>
  <c r="M33" i="3"/>
  <c r="C33" i="3"/>
  <c r="Q32" i="3"/>
  <c r="P32" i="3"/>
  <c r="G32" i="3" s="1"/>
  <c r="M32" i="3"/>
  <c r="C32" i="3"/>
  <c r="Q31" i="3"/>
  <c r="P31" i="3"/>
  <c r="G31" i="3" s="1"/>
  <c r="M31" i="3"/>
  <c r="C31" i="3"/>
  <c r="Q30" i="3"/>
  <c r="P30" i="3"/>
  <c r="G30" i="3" s="1"/>
  <c r="M30" i="3"/>
  <c r="C30" i="3"/>
  <c r="Q29" i="3"/>
  <c r="P29" i="3"/>
  <c r="G29" i="3" s="1"/>
  <c r="M29" i="3"/>
  <c r="C29" i="3"/>
  <c r="Q28" i="3"/>
  <c r="P28" i="3"/>
  <c r="G28" i="3" s="1"/>
  <c r="M28" i="3"/>
  <c r="C28" i="3"/>
  <c r="Q27" i="3"/>
  <c r="P27" i="3"/>
  <c r="G27" i="3" s="1"/>
  <c r="M27" i="3"/>
  <c r="C27" i="3"/>
  <c r="Q26" i="3"/>
  <c r="P26" i="3"/>
  <c r="G26" i="3" s="1"/>
  <c r="M26" i="3"/>
  <c r="C26" i="3"/>
  <c r="Q25" i="3"/>
  <c r="P25" i="3"/>
  <c r="G25" i="3" s="1"/>
  <c r="M25" i="3"/>
  <c r="C25" i="3"/>
  <c r="Q24" i="3"/>
  <c r="P24" i="3"/>
  <c r="G24" i="3" s="1"/>
  <c r="M24" i="3"/>
  <c r="C24" i="3"/>
  <c r="Q23" i="3"/>
  <c r="P23" i="3"/>
  <c r="G23" i="3" s="1"/>
  <c r="M23" i="3"/>
  <c r="C23" i="3"/>
  <c r="Q22" i="3"/>
  <c r="P22" i="3"/>
  <c r="G22" i="3" s="1"/>
  <c r="M22" i="3"/>
  <c r="C22" i="3"/>
  <c r="P21" i="3"/>
  <c r="G21" i="3" s="1"/>
  <c r="M21" i="3"/>
  <c r="F21" i="3"/>
  <c r="C21" i="3"/>
  <c r="Q20" i="3"/>
  <c r="P20" i="3"/>
  <c r="G20" i="3" s="1"/>
  <c r="M20" i="3"/>
  <c r="C20" i="3"/>
  <c r="Q19" i="3"/>
  <c r="P19" i="3"/>
  <c r="G19" i="3" s="1"/>
  <c r="M19" i="3"/>
  <c r="C19" i="3"/>
  <c r="Q18" i="3"/>
  <c r="P18" i="3"/>
  <c r="G18" i="3" s="1"/>
  <c r="M18" i="3"/>
  <c r="C18" i="3"/>
  <c r="Q17" i="3"/>
  <c r="P17" i="3"/>
  <c r="G17" i="3" s="1"/>
  <c r="M17" i="3"/>
  <c r="C17" i="3"/>
  <c r="Q16" i="3"/>
  <c r="P16" i="3"/>
  <c r="G16" i="3" s="1"/>
  <c r="M16" i="3"/>
  <c r="C16" i="3"/>
  <c r="Q15" i="3"/>
  <c r="P15" i="3"/>
  <c r="G15" i="3" s="1"/>
  <c r="M15" i="3"/>
  <c r="C15" i="3"/>
  <c r="Q14" i="3"/>
  <c r="P14" i="3"/>
  <c r="G14" i="3" s="1"/>
  <c r="M14" i="3"/>
  <c r="C14" i="3"/>
  <c r="Q13" i="3"/>
  <c r="P13" i="3"/>
  <c r="G13" i="3" s="1"/>
  <c r="M13" i="3"/>
  <c r="C13" i="3"/>
  <c r="Q12" i="3"/>
  <c r="P12" i="3"/>
  <c r="G12" i="3" s="1"/>
  <c r="M12" i="3"/>
  <c r="C12" i="3"/>
  <c r="Q11" i="3"/>
  <c r="P11" i="3"/>
  <c r="G11" i="3" s="1"/>
  <c r="M11" i="3"/>
  <c r="C11" i="3"/>
  <c r="Q10" i="3"/>
  <c r="P10" i="3"/>
  <c r="G10" i="3" s="1"/>
  <c r="M10" i="3"/>
  <c r="C10" i="3"/>
  <c r="Q9" i="3"/>
  <c r="P9" i="3"/>
  <c r="G9" i="3" s="1"/>
  <c r="M9" i="3"/>
  <c r="C9" i="3"/>
  <c r="Q8" i="3"/>
  <c r="P8" i="3"/>
  <c r="G8" i="3" s="1"/>
  <c r="M8" i="3"/>
  <c r="C8" i="3"/>
  <c r="Q7" i="3"/>
  <c r="P7" i="3"/>
  <c r="G7" i="3" s="1"/>
  <c r="M7" i="3"/>
  <c r="C7" i="3"/>
  <c r="Q6" i="3"/>
  <c r="P6" i="3"/>
  <c r="G6" i="3" s="1"/>
  <c r="M6" i="3"/>
  <c r="C6" i="3"/>
  <c r="Q5" i="3"/>
  <c r="P5" i="3"/>
  <c r="G5" i="3" s="1"/>
  <c r="M5" i="3"/>
  <c r="C5" i="3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H37" i="5"/>
  <c r="A37" i="5"/>
  <c r="H36" i="5"/>
  <c r="A36" i="5"/>
  <c r="H35" i="5"/>
  <c r="A35" i="5"/>
  <c r="H34" i="5"/>
  <c r="A34" i="5"/>
  <c r="H33" i="5"/>
  <c r="A33" i="5"/>
  <c r="H32" i="5"/>
  <c r="A32" i="5"/>
  <c r="H31" i="5"/>
  <c r="A31" i="5"/>
  <c r="H30" i="5"/>
  <c r="A30" i="5"/>
  <c r="H29" i="5"/>
  <c r="A29" i="5"/>
  <c r="H28" i="5"/>
  <c r="A28" i="5"/>
  <c r="H27" i="5"/>
  <c r="A27" i="5"/>
  <c r="H26" i="5"/>
  <c r="A26" i="5"/>
  <c r="H25" i="5"/>
  <c r="A25" i="5"/>
  <c r="H24" i="5"/>
  <c r="G24" i="5" s="1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F5" i="5"/>
  <c r="F4" i="5"/>
  <c r="F3" i="5"/>
  <c r="I24" i="5" l="1"/>
  <c r="I33" i="5" s="1"/>
  <c r="G28" i="5"/>
  <c r="F24" i="5"/>
  <c r="F37" i="5" s="1"/>
  <c r="G26" i="5"/>
  <c r="G37" i="5"/>
  <c r="G35" i="5"/>
  <c r="G33" i="5"/>
  <c r="G31" i="5"/>
  <c r="G29" i="5"/>
  <c r="G27" i="5"/>
  <c r="G25" i="5"/>
  <c r="G32" i="5"/>
  <c r="G34" i="5"/>
  <c r="G30" i="5"/>
  <c r="G36" i="5"/>
  <c r="F31" i="5" l="1"/>
  <c r="F30" i="5"/>
  <c r="F36" i="5"/>
  <c r="F26" i="5"/>
  <c r="F29" i="5"/>
  <c r="F28" i="5"/>
  <c r="F35" i="5"/>
  <c r="F27" i="5"/>
  <c r="F34" i="5"/>
  <c r="F25" i="5"/>
  <c r="E24" i="5"/>
  <c r="E26" i="5" s="1"/>
  <c r="F32" i="5"/>
  <c r="I25" i="5"/>
  <c r="I26" i="5"/>
  <c r="I31" i="5"/>
  <c r="I32" i="5"/>
  <c r="I30" i="5"/>
  <c r="J24" i="5"/>
  <c r="J28" i="5" s="1"/>
  <c r="I35" i="5"/>
  <c r="I37" i="5"/>
  <c r="I29" i="5"/>
  <c r="I27" i="5"/>
  <c r="I36" i="5"/>
  <c r="I28" i="5"/>
  <c r="I34" i="5"/>
  <c r="F33" i="5"/>
  <c r="D24" i="5" l="1"/>
  <c r="D36" i="5" s="1"/>
  <c r="E33" i="5"/>
  <c r="E31" i="5"/>
  <c r="E32" i="5"/>
  <c r="E27" i="5"/>
  <c r="J27" i="5"/>
  <c r="J37" i="5"/>
  <c r="K24" i="5"/>
  <c r="K30" i="5" s="1"/>
  <c r="E25" i="5"/>
  <c r="E36" i="5"/>
  <c r="E28" i="5"/>
  <c r="E37" i="5"/>
  <c r="E29" i="5"/>
  <c r="E34" i="5"/>
  <c r="E30" i="5"/>
  <c r="E35" i="5"/>
  <c r="J30" i="5"/>
  <c r="J25" i="5"/>
  <c r="J31" i="5"/>
  <c r="J29" i="5"/>
  <c r="J26" i="5"/>
  <c r="J34" i="5"/>
  <c r="J33" i="5"/>
  <c r="J35" i="5"/>
  <c r="J36" i="5"/>
  <c r="J32" i="5"/>
  <c r="D25" i="5" l="1"/>
  <c r="D29" i="5"/>
  <c r="D31" i="5"/>
  <c r="D37" i="5"/>
  <c r="C24" i="5"/>
  <c r="C30" i="5" s="1"/>
  <c r="D26" i="5"/>
  <c r="D28" i="5"/>
  <c r="D30" i="5"/>
  <c r="D27" i="5"/>
  <c r="D32" i="5"/>
  <c r="D33" i="5"/>
  <c r="D34" i="5"/>
  <c r="D35" i="5"/>
  <c r="K29" i="5"/>
  <c r="K37" i="5"/>
  <c r="K34" i="5"/>
  <c r="K27" i="5"/>
  <c r="K28" i="5"/>
  <c r="K25" i="5"/>
  <c r="K32" i="5"/>
  <c r="K26" i="5"/>
  <c r="K35" i="5"/>
  <c r="K33" i="5"/>
  <c r="L24" i="5"/>
  <c r="L36" i="5" s="1"/>
  <c r="K31" i="5"/>
  <c r="K36" i="5"/>
  <c r="C32" i="5" l="1"/>
  <c r="C29" i="5"/>
  <c r="C34" i="5"/>
  <c r="C36" i="5"/>
  <c r="C35" i="5"/>
  <c r="C37" i="5"/>
  <c r="M8" i="5"/>
  <c r="M20" i="5" s="1"/>
  <c r="C25" i="5"/>
  <c r="C31" i="5"/>
  <c r="C26" i="5"/>
  <c r="C33" i="5"/>
  <c r="C28" i="5"/>
  <c r="C27" i="5"/>
  <c r="L25" i="5"/>
  <c r="L35" i="5"/>
  <c r="L27" i="5"/>
  <c r="L30" i="5"/>
  <c r="L31" i="5"/>
  <c r="L29" i="5"/>
  <c r="L34" i="5"/>
  <c r="L28" i="5"/>
  <c r="L37" i="5"/>
  <c r="L32" i="5"/>
  <c r="M24" i="5"/>
  <c r="M33" i="5" s="1"/>
  <c r="L33" i="5"/>
  <c r="L26" i="5"/>
  <c r="M10" i="5" l="1"/>
  <c r="M9" i="5"/>
  <c r="M13" i="5"/>
  <c r="M14" i="5"/>
  <c r="M15" i="5"/>
  <c r="M21" i="5"/>
  <c r="L8" i="5"/>
  <c r="K8" i="5" s="1"/>
  <c r="M16" i="5"/>
  <c r="M17" i="5"/>
  <c r="M18" i="5"/>
  <c r="M11" i="5"/>
  <c r="M19" i="5"/>
  <c r="M12" i="5"/>
  <c r="M30" i="5"/>
  <c r="M28" i="5"/>
  <c r="M31" i="5"/>
  <c r="M36" i="5"/>
  <c r="M29" i="5"/>
  <c r="M25" i="5"/>
  <c r="M34" i="5"/>
  <c r="M32" i="5"/>
  <c r="M27" i="5"/>
  <c r="M26" i="5"/>
  <c r="M35" i="5"/>
  <c r="M37" i="5"/>
  <c r="C40" i="5"/>
  <c r="C46" i="5" s="1"/>
  <c r="L12" i="5" l="1"/>
  <c r="L9" i="5"/>
  <c r="L13" i="5"/>
  <c r="L21" i="5"/>
  <c r="L10" i="5"/>
  <c r="L11" i="5"/>
  <c r="L15" i="5"/>
  <c r="L16" i="5"/>
  <c r="L20" i="5"/>
  <c r="L14" i="5"/>
  <c r="L17" i="5"/>
  <c r="L18" i="5"/>
  <c r="L19" i="5"/>
  <c r="C50" i="5"/>
  <c r="C41" i="5"/>
  <c r="C52" i="5"/>
  <c r="C51" i="5"/>
  <c r="C48" i="5"/>
  <c r="C43" i="5"/>
  <c r="C44" i="5"/>
  <c r="D40" i="5"/>
  <c r="D50" i="5" s="1"/>
  <c r="C42" i="5"/>
  <c r="C53" i="5"/>
  <c r="C47" i="5"/>
  <c r="C49" i="5"/>
  <c r="C45" i="5"/>
  <c r="K20" i="5"/>
  <c r="K18" i="5"/>
  <c r="K16" i="5"/>
  <c r="K14" i="5"/>
  <c r="K12" i="5"/>
  <c r="K10" i="5"/>
  <c r="J8" i="5"/>
  <c r="K21" i="5"/>
  <c r="K19" i="5"/>
  <c r="K17" i="5"/>
  <c r="K15" i="5"/>
  <c r="K13" i="5"/>
  <c r="K11" i="5"/>
  <c r="K9" i="5"/>
  <c r="D51" i="5" l="1"/>
  <c r="D42" i="5"/>
  <c r="D44" i="5"/>
  <c r="D53" i="5"/>
  <c r="D46" i="5"/>
  <c r="D43" i="5"/>
  <c r="D48" i="5"/>
  <c r="D41" i="5"/>
  <c r="D52" i="5"/>
  <c r="D45" i="5"/>
  <c r="D49" i="5"/>
  <c r="D47" i="5"/>
  <c r="E40" i="5"/>
  <c r="E52" i="5" s="1"/>
  <c r="J20" i="5"/>
  <c r="J18" i="5"/>
  <c r="J16" i="5"/>
  <c r="J14" i="5"/>
  <c r="J12" i="5"/>
  <c r="J10" i="5"/>
  <c r="J21" i="5"/>
  <c r="J19" i="5"/>
  <c r="J17" i="5"/>
  <c r="J15" i="5"/>
  <c r="J13" i="5"/>
  <c r="J11" i="5"/>
  <c r="J9" i="5"/>
  <c r="I8" i="5"/>
  <c r="F40" i="5" l="1"/>
  <c r="F50" i="5" s="1"/>
  <c r="E46" i="5"/>
  <c r="E51" i="5"/>
  <c r="E48" i="5"/>
  <c r="E41" i="5"/>
  <c r="E49" i="5"/>
  <c r="E44" i="5"/>
  <c r="E42" i="5"/>
  <c r="E45" i="5"/>
  <c r="E43" i="5"/>
  <c r="E50" i="5"/>
  <c r="E47" i="5"/>
  <c r="E53" i="5"/>
  <c r="I20" i="5"/>
  <c r="I18" i="5"/>
  <c r="I16" i="5"/>
  <c r="I14" i="5"/>
  <c r="I12" i="5"/>
  <c r="I10" i="5"/>
  <c r="I21" i="5"/>
  <c r="I19" i="5"/>
  <c r="I17" i="5"/>
  <c r="I15" i="5"/>
  <c r="I13" i="5"/>
  <c r="I11" i="5"/>
  <c r="I9" i="5"/>
  <c r="H8" i="5"/>
  <c r="F46" i="5" l="1"/>
  <c r="F49" i="5"/>
  <c r="F42" i="5"/>
  <c r="F51" i="5"/>
  <c r="F45" i="5"/>
  <c r="F43" i="5"/>
  <c r="F44" i="5"/>
  <c r="F53" i="5"/>
  <c r="F52" i="5"/>
  <c r="F48" i="5"/>
  <c r="F47" i="5"/>
  <c r="G40" i="5"/>
  <c r="H40" i="5" s="1"/>
  <c r="F41" i="5"/>
  <c r="G8" i="5"/>
  <c r="H20" i="5"/>
  <c r="H18" i="5"/>
  <c r="H16" i="5"/>
  <c r="H14" i="5"/>
  <c r="H12" i="5"/>
  <c r="H10" i="5"/>
  <c r="H21" i="5"/>
  <c r="H19" i="5"/>
  <c r="H17" i="5"/>
  <c r="H15" i="5"/>
  <c r="H13" i="5"/>
  <c r="H11" i="5"/>
  <c r="H9" i="5"/>
  <c r="G53" i="5" l="1"/>
  <c r="G46" i="5"/>
  <c r="G44" i="5"/>
  <c r="G43" i="5"/>
  <c r="G41" i="5"/>
  <c r="G49" i="5"/>
  <c r="G52" i="5"/>
  <c r="G51" i="5"/>
  <c r="G45" i="5"/>
  <c r="G42" i="5"/>
  <c r="G50" i="5"/>
  <c r="G47" i="5"/>
  <c r="G48" i="5"/>
  <c r="H45" i="5"/>
  <c r="H46" i="5"/>
  <c r="H43" i="5"/>
  <c r="H52" i="5"/>
  <c r="H48" i="5"/>
  <c r="H42" i="5"/>
  <c r="I40" i="5"/>
  <c r="H53" i="5"/>
  <c r="H50" i="5"/>
  <c r="H44" i="5"/>
  <c r="H41" i="5"/>
  <c r="H51" i="5"/>
  <c r="H49" i="5"/>
  <c r="H47" i="5"/>
  <c r="G21" i="5"/>
  <c r="G19" i="5"/>
  <c r="G17" i="5"/>
  <c r="G15" i="5"/>
  <c r="G13" i="5"/>
  <c r="G11" i="5"/>
  <c r="G9" i="5"/>
  <c r="G20" i="5"/>
  <c r="G18" i="5"/>
  <c r="G16" i="5"/>
  <c r="G14" i="5"/>
  <c r="G12" i="5"/>
  <c r="G10" i="5"/>
  <c r="F8" i="5"/>
  <c r="I49" i="5" l="1"/>
  <c r="I46" i="5"/>
  <c r="I43" i="5"/>
  <c r="I41" i="5"/>
  <c r="I53" i="5"/>
  <c r="I50" i="5"/>
  <c r="I51" i="5"/>
  <c r="I47" i="5"/>
  <c r="I44" i="5"/>
  <c r="I45" i="5"/>
  <c r="I42" i="5"/>
  <c r="I52" i="5"/>
  <c r="J40" i="5"/>
  <c r="I48" i="5"/>
  <c r="F21" i="5"/>
  <c r="F19" i="5"/>
  <c r="F17" i="5"/>
  <c r="F15" i="5"/>
  <c r="F13" i="5"/>
  <c r="F11" i="5"/>
  <c r="F9" i="5"/>
  <c r="E8" i="5"/>
  <c r="F20" i="5"/>
  <c r="F18" i="5"/>
  <c r="F16" i="5"/>
  <c r="F14" i="5"/>
  <c r="F12" i="5"/>
  <c r="F10" i="5"/>
  <c r="J53" i="5" l="1"/>
  <c r="J43" i="5"/>
  <c r="J45" i="5"/>
  <c r="J51" i="5"/>
  <c r="K40" i="5"/>
  <c r="J49" i="5"/>
  <c r="J44" i="5"/>
  <c r="J41" i="5"/>
  <c r="J48" i="5"/>
  <c r="J47" i="5"/>
  <c r="J46" i="5"/>
  <c r="J42" i="5"/>
  <c r="J52" i="5"/>
  <c r="J50" i="5"/>
  <c r="E19" i="5"/>
  <c r="E17" i="5"/>
  <c r="E15" i="5"/>
  <c r="E11" i="5"/>
  <c r="E13" i="5"/>
  <c r="E9" i="5"/>
  <c r="D8" i="5"/>
  <c r="E21" i="5"/>
  <c r="E20" i="5"/>
  <c r="E18" i="5"/>
  <c r="E16" i="5"/>
  <c r="E14" i="5"/>
  <c r="E12" i="5"/>
  <c r="E10" i="5"/>
  <c r="K50" i="5" l="1"/>
  <c r="K45" i="5"/>
  <c r="K46" i="5"/>
  <c r="K47" i="5"/>
  <c r="K44" i="5"/>
  <c r="K43" i="5"/>
  <c r="K51" i="5"/>
  <c r="K52" i="5"/>
  <c r="L40" i="5"/>
  <c r="K48" i="5"/>
  <c r="K41" i="5"/>
  <c r="K42" i="5"/>
  <c r="K49" i="5"/>
  <c r="K53" i="5"/>
  <c r="C8" i="5"/>
  <c r="D20" i="5"/>
  <c r="D17" i="5"/>
  <c r="D15" i="5"/>
  <c r="D11" i="5"/>
  <c r="D18" i="5"/>
  <c r="D13" i="5"/>
  <c r="D10" i="5"/>
  <c r="D21" i="5"/>
  <c r="D19" i="5"/>
  <c r="D16" i="5"/>
  <c r="D14" i="5"/>
  <c r="D12" i="5"/>
  <c r="D9" i="5"/>
  <c r="L46" i="5" l="1"/>
  <c r="L47" i="5"/>
  <c r="L44" i="5"/>
  <c r="L43" i="5"/>
  <c r="L42" i="5"/>
  <c r="L51" i="5"/>
  <c r="L45" i="5"/>
  <c r="M40" i="5"/>
  <c r="L49" i="5"/>
  <c r="L41" i="5"/>
  <c r="L53" i="5"/>
  <c r="L52" i="5"/>
  <c r="L50" i="5"/>
  <c r="L48" i="5"/>
  <c r="C20" i="5"/>
  <c r="C18" i="5"/>
  <c r="C16" i="5"/>
  <c r="C14" i="5"/>
  <c r="C12" i="5"/>
  <c r="C10" i="5"/>
  <c r="C21" i="5"/>
  <c r="C19" i="5"/>
  <c r="C17" i="5"/>
  <c r="C15" i="5"/>
  <c r="C13" i="5"/>
  <c r="C11" i="5"/>
  <c r="C9" i="5"/>
  <c r="M48" i="5" l="1"/>
  <c r="M45" i="5"/>
  <c r="M43" i="5"/>
  <c r="M44" i="5"/>
  <c r="M41" i="5"/>
  <c r="M42" i="5"/>
  <c r="M46" i="5"/>
  <c r="M49" i="5"/>
  <c r="M47" i="5"/>
  <c r="M53" i="5"/>
  <c r="M51" i="5"/>
  <c r="M52" i="5"/>
  <c r="M50" i="5"/>
</calcChain>
</file>

<file path=xl/sharedStrings.xml><?xml version="1.0" encoding="utf-8"?>
<sst xmlns="http://schemas.openxmlformats.org/spreadsheetml/2006/main" count="1187" uniqueCount="413">
  <si>
    <t>Area</t>
  </si>
  <si>
    <t>Benämning</t>
  </si>
  <si>
    <t>Egentyngd</t>
  </si>
  <si>
    <t>Diameter</t>
  </si>
  <si>
    <t>Initiel E-modul</t>
  </si>
  <si>
    <t>Perm E-modul</t>
  </si>
  <si>
    <t>Krypspänning</t>
  </si>
  <si>
    <t>faktor X</t>
  </si>
  <si>
    <t>Värmeutvidgningskoefficient</t>
  </si>
  <si>
    <t>Krypning</t>
  </si>
  <si>
    <t>Temp. höjn</t>
  </si>
  <si>
    <t>Brottlast</t>
  </si>
  <si>
    <t>Brottpänning</t>
  </si>
  <si>
    <t>Tillåten spänning</t>
  </si>
  <si>
    <t>Vikt</t>
  </si>
  <si>
    <r>
      <t>E</t>
    </r>
    <r>
      <rPr>
        <vertAlign val="subscript"/>
        <sz val="11"/>
        <color theme="1"/>
        <rFont val="Calibri"/>
        <family val="2"/>
        <scheme val="minor"/>
      </rPr>
      <t>iL</t>
    </r>
  </si>
  <si>
    <r>
      <t>E</t>
    </r>
    <r>
      <rPr>
        <vertAlign val="subscript"/>
        <sz val="11"/>
        <color theme="1"/>
        <rFont val="Calibri"/>
        <family val="2"/>
        <scheme val="minor"/>
      </rPr>
      <t>P</t>
    </r>
  </si>
  <si>
    <r>
      <rPr>
        <sz val="11"/>
        <color theme="1"/>
        <rFont val="Calibri"/>
        <family val="2"/>
      </rPr>
      <t>σ</t>
    </r>
    <r>
      <rPr>
        <vertAlign val="subscript"/>
        <sz val="11"/>
        <color theme="1"/>
        <rFont val="Calibri"/>
        <family val="2"/>
      </rPr>
      <t>P</t>
    </r>
  </si>
  <si>
    <t>α</t>
  </si>
  <si>
    <r>
      <t>ε</t>
    </r>
    <r>
      <rPr>
        <vertAlign val="subscript"/>
        <sz val="11"/>
        <color theme="1"/>
        <rFont val="Calibri"/>
        <family val="2"/>
      </rPr>
      <t>C</t>
    </r>
  </si>
  <si>
    <r>
      <t>motsv ε</t>
    </r>
    <r>
      <rPr>
        <vertAlign val="subscript"/>
        <sz val="11"/>
        <color rgb="FF0070C0"/>
        <rFont val="Calibri"/>
        <family val="2"/>
        <scheme val="minor"/>
      </rPr>
      <t>C</t>
    </r>
  </si>
  <si>
    <r>
      <t>[mm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</si>
  <si>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t>[N/m]</t>
  </si>
  <si>
    <t>[mm]</t>
  </si>
  <si>
    <t>[MPa]</t>
  </si>
  <si>
    <t>[-]</t>
  </si>
  <si>
    <r>
      <t>[10</t>
    </r>
    <r>
      <rPr>
        <vertAlign val="superscript"/>
        <sz val="11"/>
        <color theme="1"/>
        <rFont val="Calibri"/>
        <family val="2"/>
        <scheme val="minor"/>
      </rPr>
      <t>-6</t>
    </r>
    <r>
      <rPr>
        <sz val="11"/>
        <color theme="1"/>
        <rFont val="Calibri"/>
        <family val="2"/>
        <scheme val="minor"/>
      </rPr>
      <t>/</t>
    </r>
    <r>
      <rPr>
        <sz val="11"/>
        <color theme="1"/>
        <rFont val="Calibri"/>
        <family val="2"/>
      </rPr>
      <t>°C</t>
    </r>
    <r>
      <rPr>
        <sz val="11"/>
        <color theme="1"/>
        <rFont val="Calibri"/>
        <family val="2"/>
        <scheme val="minor"/>
      </rPr>
      <t>]</t>
    </r>
  </si>
  <si>
    <r>
      <t>[</t>
    </r>
    <r>
      <rPr>
        <sz val="11"/>
        <color theme="1"/>
        <rFont val="Calibri"/>
        <family val="2"/>
      </rPr>
      <t>‰</t>
    </r>
    <r>
      <rPr>
        <sz val="11"/>
        <color theme="1"/>
        <rFont val="Calibri"/>
        <family val="2"/>
        <scheme val="minor"/>
      </rPr>
      <t>]</t>
    </r>
  </si>
  <si>
    <t>[°C]</t>
  </si>
  <si>
    <t>[kN]</t>
  </si>
  <si>
    <t>[kg/km]</t>
  </si>
  <si>
    <t>AL</t>
  </si>
  <si>
    <t>AL Solros</t>
  </si>
  <si>
    <t>AL Stormhatt</t>
  </si>
  <si>
    <t>AL Hampdån</t>
  </si>
  <si>
    <t>AL Akleja</t>
  </si>
  <si>
    <t>AL Renfana</t>
  </si>
  <si>
    <t>AL Vallmo</t>
  </si>
  <si>
    <t>AL Gullviva</t>
  </si>
  <si>
    <t>AL Kattfot</t>
  </si>
  <si>
    <t>AL59</t>
  </si>
  <si>
    <t>AlMgSi</t>
  </si>
  <si>
    <t>FeAl</t>
  </si>
  <si>
    <t>FeAl Falcon</t>
  </si>
  <si>
    <t>FeAl Orre</t>
  </si>
  <si>
    <t>FeAl Martin</t>
  </si>
  <si>
    <t>FeAl Skata</t>
  </si>
  <si>
    <t>FeAl Ripa</t>
  </si>
  <si>
    <t>FeAl Curlew</t>
  </si>
  <si>
    <t>FeAl Morkulla</t>
  </si>
  <si>
    <t>FeAl Condor</t>
  </si>
  <si>
    <t>FeAl Dove</t>
  </si>
  <si>
    <t>FeAl Hawk</t>
  </si>
  <si>
    <t>FeAl Ibis</t>
  </si>
  <si>
    <t>FeAl Partridge</t>
  </si>
  <si>
    <t>FeAl Pigeon</t>
  </si>
  <si>
    <t>FeAl Raven</t>
  </si>
  <si>
    <t>FeAl Robin</t>
  </si>
  <si>
    <t>FeAl Swallow</t>
  </si>
  <si>
    <t>FeAl Ymer</t>
  </si>
  <si>
    <t>FeAl Atle</t>
  </si>
  <si>
    <t>FeAl Oden</t>
  </si>
  <si>
    <t>FeAl Dotterel</t>
  </si>
  <si>
    <t>Cu</t>
  </si>
  <si>
    <t>Fe-60</t>
  </si>
  <si>
    <t>Fe-140</t>
  </si>
  <si>
    <t>highest stress at which EiL is valid</t>
  </si>
  <si>
    <t>x[-]:</t>
  </si>
  <si>
    <t>permanent elongation due to creep</t>
  </si>
  <si>
    <t>temperature rise corresponding to creep</t>
  </si>
  <si>
    <t>thermal expansion coefficient</t>
  </si>
  <si>
    <t>initial modulus of elasticity</t>
  </si>
  <si>
    <t>final modulus of elasticity</t>
  </si>
  <si>
    <t>Temp</t>
  </si>
  <si>
    <t>Wind</t>
  </si>
  <si>
    <t>Ice</t>
  </si>
  <si>
    <t>Creep</t>
  </si>
  <si>
    <t>initial tension at 0 °C</t>
  </si>
  <si>
    <t>ruling span</t>
  </si>
  <si>
    <t>Conductor</t>
  </si>
  <si>
    <t>height (arc center of mass) above ground</t>
  </si>
  <si>
    <r>
      <t>a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[m]:</t>
    </r>
  </si>
  <si>
    <r>
      <t>T</t>
    </r>
    <r>
      <rPr>
        <vertAlign val="subscript"/>
        <sz val="11"/>
        <color theme="1"/>
        <rFont val="Calibri"/>
        <family val="2"/>
        <scheme val="minor"/>
      </rPr>
      <t>min</t>
    </r>
    <r>
      <rPr>
        <sz val="11"/>
        <color theme="1"/>
        <rFont val="Calibri"/>
        <family val="2"/>
        <scheme val="minor"/>
      </rPr>
      <t>[°C]:</t>
    </r>
  </si>
  <si>
    <r>
      <t>T</t>
    </r>
    <r>
      <rPr>
        <vertAlign val="subscript"/>
        <sz val="11"/>
        <color theme="1"/>
        <rFont val="Calibri"/>
        <family val="2"/>
        <scheme val="minor"/>
      </rPr>
      <t>max</t>
    </r>
    <r>
      <rPr>
        <sz val="11"/>
        <color theme="1"/>
        <rFont val="Calibri"/>
        <family val="2"/>
        <scheme val="minor"/>
      </rPr>
      <t>[°C]:</t>
    </r>
  </si>
  <si>
    <t>Load criteria</t>
  </si>
  <si>
    <t>Preset</t>
  </si>
  <si>
    <t>[m]</t>
  </si>
  <si>
    <t>[°]</t>
  </si>
  <si>
    <r>
      <t>[N/m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</si>
  <si>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t>[sag/2km]</t>
  </si>
  <si>
    <t>total cross section area</t>
  </si>
  <si>
    <t>d [mm]:</t>
  </si>
  <si>
    <t>dead weight of conductor</t>
  </si>
  <si>
    <t>bare conductor diameter</t>
  </si>
  <si>
    <t>allowed stress</t>
  </si>
  <si>
    <t>gust response factor (1,0)</t>
  </si>
  <si>
    <t>h[m]:</t>
  </si>
  <si>
    <r>
      <t>for calculation of E</t>
    </r>
    <r>
      <rPr>
        <i/>
        <vertAlign val="subscript"/>
        <sz val="9"/>
        <color theme="0" tint="-0.499984740745262"/>
        <rFont val="Calibri"/>
        <family val="2"/>
        <scheme val="minor"/>
      </rPr>
      <t>iU</t>
    </r>
  </si>
  <si>
    <t>Cc</t>
  </si>
  <si>
    <t>min. temp.</t>
  </si>
  <si>
    <t>max. temp.</t>
  </si>
  <si>
    <r>
      <t>A [mm</t>
    </r>
    <r>
      <rPr>
        <vertAlign val="superscript"/>
        <sz val="9"/>
        <color theme="0" tint="-0.499984740745262"/>
        <rFont val="Calibri"/>
        <family val="2"/>
        <scheme val="minor"/>
      </rPr>
      <t>2</t>
    </r>
    <r>
      <rPr>
        <sz val="9"/>
        <color theme="0" tint="-0.499984740745262"/>
        <rFont val="Calibri"/>
        <family val="2"/>
        <scheme val="minor"/>
      </rPr>
      <t>]:</t>
    </r>
  </si>
  <si>
    <r>
      <t>g</t>
    </r>
    <r>
      <rPr>
        <vertAlign val="subscript"/>
        <sz val="9"/>
        <color theme="0" tint="-0.499984740745262"/>
        <rFont val="Calibri"/>
        <family val="2"/>
        <scheme val="minor"/>
      </rPr>
      <t>e</t>
    </r>
    <r>
      <rPr>
        <sz val="9"/>
        <color theme="0" tint="-0.499984740745262"/>
        <rFont val="Calibri"/>
        <family val="2"/>
        <scheme val="minor"/>
      </rPr>
      <t>[N/m]:</t>
    </r>
  </si>
  <si>
    <r>
      <t>σ</t>
    </r>
    <r>
      <rPr>
        <vertAlign val="subscript"/>
        <sz val="9"/>
        <color theme="0" tint="-0.499984740745262"/>
        <rFont val="Calibri"/>
        <family val="2"/>
      </rPr>
      <t>A</t>
    </r>
    <r>
      <rPr>
        <sz val="9"/>
        <color theme="0" tint="-0.499984740745262"/>
        <rFont val="Calibri"/>
        <family val="2"/>
      </rPr>
      <t>[MPa]:</t>
    </r>
  </si>
  <si>
    <r>
      <t>E</t>
    </r>
    <r>
      <rPr>
        <vertAlign val="subscript"/>
        <sz val="9"/>
        <color theme="0" tint="-0.499984740745262"/>
        <rFont val="Calibri"/>
        <family val="2"/>
        <scheme val="minor"/>
      </rPr>
      <t>iL</t>
    </r>
    <r>
      <rPr>
        <sz val="9"/>
        <color theme="0" tint="-0.499984740745262"/>
        <rFont val="Calibri"/>
        <family val="2"/>
        <scheme val="minor"/>
      </rPr>
      <t>[MPa]:</t>
    </r>
  </si>
  <si>
    <r>
      <t>E</t>
    </r>
    <r>
      <rPr>
        <vertAlign val="subscript"/>
        <sz val="9"/>
        <color theme="0" tint="-0.499984740745262"/>
        <rFont val="Calibri"/>
        <family val="2"/>
        <scheme val="minor"/>
      </rPr>
      <t>p</t>
    </r>
    <r>
      <rPr>
        <sz val="9"/>
        <color theme="0" tint="-0.499984740745262"/>
        <rFont val="Calibri"/>
        <family val="2"/>
        <scheme val="minor"/>
      </rPr>
      <t>[MPa]:</t>
    </r>
  </si>
  <si>
    <r>
      <t>σ</t>
    </r>
    <r>
      <rPr>
        <vertAlign val="subscript"/>
        <sz val="9"/>
        <color theme="0" tint="-0.499984740745262"/>
        <rFont val="Calibri"/>
        <family val="2"/>
      </rPr>
      <t>p</t>
    </r>
    <r>
      <rPr>
        <sz val="9"/>
        <color theme="0" tint="-0.499984740745262"/>
        <rFont val="Calibri"/>
        <family val="2"/>
      </rPr>
      <t>[MPa]:</t>
    </r>
  </si>
  <si>
    <r>
      <t>ε</t>
    </r>
    <r>
      <rPr>
        <vertAlign val="subscript"/>
        <sz val="9"/>
        <color theme="0" tint="-0.499984740745262"/>
        <rFont val="Calibri"/>
        <family val="2"/>
      </rPr>
      <t>C</t>
    </r>
    <r>
      <rPr>
        <sz val="9"/>
        <color theme="0" tint="-0.499984740745262"/>
        <rFont val="Calibri"/>
        <family val="2"/>
      </rPr>
      <t>[‰]:</t>
    </r>
  </si>
  <si>
    <r>
      <t>ΔT</t>
    </r>
    <r>
      <rPr>
        <vertAlign val="subscript"/>
        <sz val="9"/>
        <color theme="0" tint="-0.499984740745262"/>
        <rFont val="Calibri"/>
        <family val="2"/>
      </rPr>
      <t>C</t>
    </r>
    <r>
      <rPr>
        <sz val="9"/>
        <color theme="0" tint="-0.499984740745262"/>
        <rFont val="Calibri"/>
        <family val="2"/>
      </rPr>
      <t>[°C]:</t>
    </r>
  </si>
  <si>
    <r>
      <t>α</t>
    </r>
    <r>
      <rPr>
        <vertAlign val="subscript"/>
        <sz val="9"/>
        <color theme="0" tint="-0.499984740745262"/>
        <rFont val="Calibri"/>
        <family val="2"/>
      </rPr>
      <t>T</t>
    </r>
    <r>
      <rPr>
        <sz val="9"/>
        <color theme="0" tint="-0.499984740745262"/>
        <rFont val="Calibri"/>
        <family val="2"/>
      </rPr>
      <t>[10</t>
    </r>
    <r>
      <rPr>
        <vertAlign val="superscript"/>
        <sz val="9"/>
        <color theme="0" tint="-0.499984740745262"/>
        <rFont val="Calibri"/>
        <family val="2"/>
      </rPr>
      <t>-6</t>
    </r>
    <r>
      <rPr>
        <sz val="9"/>
        <color theme="0" tint="-0.499984740745262"/>
        <rFont val="Calibri"/>
        <family val="2"/>
      </rPr>
      <t>/°C]:</t>
    </r>
  </si>
  <si>
    <t>N</t>
  </si>
  <si>
    <t>B</t>
  </si>
  <si>
    <t>Lina:</t>
  </si>
  <si>
    <t>Tvärsnittsarea:</t>
  </si>
  <si>
    <t>MPa</t>
  </si>
  <si>
    <t>Normalspann:</t>
  </si>
  <si>
    <t>m</t>
  </si>
  <si>
    <t>Nedhäng [m] beroende på spannlängd och temperatur</t>
  </si>
  <si>
    <t>Data från linberäkning</t>
  </si>
  <si>
    <t>Spannlängd [m]</t>
  </si>
  <si>
    <t>Temperatur</t>
  </si>
  <si>
    <t>Mallnr</t>
  </si>
  <si>
    <t>°C</t>
  </si>
  <si>
    <t>Delning spannlängder (5 eller 10)</t>
  </si>
  <si>
    <t>Block1</t>
  </si>
  <si>
    <t>Block2</t>
  </si>
  <si>
    <t>Block3</t>
  </si>
  <si>
    <t>Littra StationA-StationB</t>
  </si>
  <si>
    <t>Ritad</t>
  </si>
  <si>
    <t>Godkänd</t>
  </si>
  <si>
    <t>-</t>
  </si>
  <si>
    <t>Granskad</t>
  </si>
  <si>
    <t>Datum</t>
  </si>
  <si>
    <t>Regleringstabell</t>
  </si>
  <si>
    <t>Ritningsnummer</t>
  </si>
  <si>
    <t>Rev</t>
  </si>
  <si>
    <t>4-___________</t>
  </si>
  <si>
    <t>Ändring</t>
  </si>
  <si>
    <t>Sign</t>
  </si>
  <si>
    <t>100 kV, AC Luftledning</t>
  </si>
  <si>
    <t>Lina</t>
  </si>
  <si>
    <r>
      <t>Norm.spann a</t>
    </r>
    <r>
      <rPr>
        <i/>
        <vertAlign val="subscript"/>
        <sz val="11"/>
        <color theme="1"/>
        <rFont val="Calibri"/>
        <family val="2"/>
        <scheme val="minor"/>
      </rPr>
      <t>n</t>
    </r>
  </si>
  <si>
    <t>Parameter C</t>
  </si>
  <si>
    <t>Nedhäng b</t>
  </si>
  <si>
    <r>
      <t xml:space="preserve">Spänning </t>
    </r>
    <r>
      <rPr>
        <b/>
        <sz val="11"/>
        <color theme="1"/>
        <rFont val="Calibri"/>
        <family val="2"/>
      </rPr>
      <t>σ</t>
    </r>
  </si>
  <si>
    <r>
      <t xml:space="preserve">Uppsp. </t>
    </r>
    <r>
      <rPr>
        <sz val="11"/>
        <color theme="1"/>
        <rFont val="Calibri"/>
        <family val="2"/>
      </rPr>
      <t>σ</t>
    </r>
    <r>
      <rPr>
        <i/>
        <vertAlign val="subscript"/>
        <sz val="11"/>
        <color theme="1"/>
        <rFont val="Calibri"/>
        <family val="2"/>
      </rPr>
      <t>0</t>
    </r>
  </si>
  <si>
    <t>Stolpe X - Stolpe Y</t>
  </si>
  <si>
    <t>A</t>
  </si>
  <si>
    <t>N30</t>
  </si>
  <si>
    <t>E</t>
  </si>
  <si>
    <t>Projected vertical</t>
  </si>
  <si>
    <t>In span plane</t>
  </si>
  <si>
    <t>Name:</t>
  </si>
  <si>
    <t>number of conductors per phase</t>
  </si>
  <si>
    <t>total mass of insulator</t>
  </si>
  <si>
    <t>wind span</t>
  </si>
  <si>
    <t>deviation angle</t>
  </si>
  <si>
    <t>number of insulator strings</t>
  </si>
  <si>
    <t>wind area per insulator string</t>
  </si>
  <si>
    <t>a[m]</t>
  </si>
  <si>
    <t xml:space="preserve">Z[m] </t>
  </si>
  <si>
    <t>insu. attachment</t>
  </si>
  <si>
    <t>β[gon]:</t>
  </si>
  <si>
    <r>
      <t>a</t>
    </r>
    <r>
      <rPr>
        <vertAlign val="subscript"/>
        <sz val="11"/>
        <color theme="1"/>
        <rFont val="Calibri"/>
        <family val="2"/>
        <scheme val="minor"/>
      </rPr>
      <t>h</t>
    </r>
    <r>
      <rPr>
        <sz val="11"/>
        <color theme="1"/>
        <rFont val="Calibri"/>
        <family val="2"/>
        <scheme val="minor"/>
      </rPr>
      <t>[m]:</t>
    </r>
  </si>
  <si>
    <r>
      <t>a</t>
    </r>
    <r>
      <rPr>
        <vertAlign val="subscript"/>
        <sz val="11"/>
        <color theme="1"/>
        <rFont val="Calibri"/>
        <family val="2"/>
        <scheme val="minor"/>
      </rPr>
      <t>v</t>
    </r>
    <r>
      <rPr>
        <sz val="11"/>
        <color theme="1"/>
        <rFont val="Calibri"/>
        <family val="2"/>
        <scheme val="minor"/>
      </rPr>
      <t>[m]:</t>
    </r>
  </si>
  <si>
    <t>L[m]</t>
  </si>
  <si>
    <t>height coordinate</t>
  </si>
  <si>
    <t>susp .insulator</t>
  </si>
  <si>
    <t>n-plex[-]:</t>
  </si>
  <si>
    <r>
      <t>M</t>
    </r>
    <r>
      <rPr>
        <vertAlign val="subscript"/>
        <sz val="11"/>
        <color theme="1"/>
        <rFont val="Calibri"/>
        <family val="2"/>
      </rPr>
      <t>aw</t>
    </r>
    <r>
      <rPr>
        <sz val="11"/>
        <color theme="1"/>
        <rFont val="Calibri"/>
        <family val="2"/>
      </rPr>
      <t>[kg]:</t>
    </r>
  </si>
  <si>
    <r>
      <t>M</t>
    </r>
    <r>
      <rPr>
        <vertAlign val="subscript"/>
        <sz val="11"/>
        <color theme="1"/>
        <rFont val="Calibri"/>
        <family val="2"/>
      </rPr>
      <t>insu</t>
    </r>
    <r>
      <rPr>
        <sz val="11"/>
        <color theme="1"/>
        <rFont val="Calibri"/>
        <family val="2"/>
      </rPr>
      <t>[kg]:</t>
    </r>
  </si>
  <si>
    <t>Insu. Strings:</t>
  </si>
  <si>
    <t>span lenght</t>
  </si>
  <si>
    <t>previous</t>
  </si>
  <si>
    <t>additional weight at insulator end</t>
  </si>
  <si>
    <r>
      <t>weight span, at temperature T</t>
    </r>
    <r>
      <rPr>
        <i/>
        <vertAlign val="subscript"/>
        <sz val="9"/>
        <color theme="1"/>
        <rFont val="Calibri"/>
        <family val="2"/>
        <scheme val="minor"/>
      </rPr>
      <t>max</t>
    </r>
  </si>
  <si>
    <t>additional wind area at insulator end</t>
  </si>
  <si>
    <t>Name</t>
  </si>
  <si>
    <t>Init.stress</t>
  </si>
  <si>
    <t>Max.stress</t>
  </si>
  <si>
    <t>Max.temp</t>
  </si>
  <si>
    <t>Loadcase
description</t>
  </si>
  <si>
    <t>Attachment1</t>
  </si>
  <si>
    <t>Attachment2</t>
  </si>
  <si>
    <t>Attachment3</t>
  </si>
  <si>
    <t>Attachment 1-2</t>
  </si>
  <si>
    <t>Attachment 2-3</t>
  </si>
  <si>
    <t>Z-coord.</t>
  </si>
  <si>
    <t>L-coord.
From Att.1</t>
  </si>
  <si>
    <t>L-coord.
From Att.2</t>
  </si>
  <si>
    <t>Att.1</t>
  </si>
  <si>
    <t>Att.2</t>
  </si>
  <si>
    <t>Att.3</t>
  </si>
  <si>
    <t>Forward</t>
  </si>
  <si>
    <t>Backward</t>
  </si>
  <si>
    <r>
      <t>γ</t>
    </r>
    <r>
      <rPr>
        <vertAlign val="subscript"/>
        <sz val="11"/>
        <color theme="1"/>
        <rFont val="Calibri"/>
        <family val="2"/>
      </rPr>
      <t>M</t>
    </r>
    <r>
      <rPr>
        <sz val="11"/>
        <color theme="1"/>
        <rFont val="Calibri"/>
        <family val="2"/>
      </rPr>
      <t>[-]:</t>
    </r>
  </si>
  <si>
    <t>partial factor on insulator force (2,5)</t>
  </si>
  <si>
    <t>drag factor of insulator string (1,2)</t>
  </si>
  <si>
    <t>structural factor of insulator string (1,0)</t>
  </si>
  <si>
    <t>-N</t>
  </si>
  <si>
    <t>-N30</t>
  </si>
  <si>
    <r>
      <t>L</t>
    </r>
    <r>
      <rPr>
        <vertAlign val="subscript"/>
        <sz val="11"/>
        <color theme="1"/>
        <rFont val="Calibri"/>
        <family val="2"/>
      </rPr>
      <t>insu</t>
    </r>
    <r>
      <rPr>
        <sz val="11"/>
        <color theme="1"/>
        <rFont val="Calibri"/>
        <family val="2"/>
      </rPr>
      <t>[m]:</t>
    </r>
  </si>
  <si>
    <t>Last used</t>
  </si>
  <si>
    <t>General calc.</t>
  </si>
  <si>
    <t xml:space="preserve"> </t>
  </si>
  <si>
    <t>Insu. deflection</t>
  </si>
  <si>
    <t>WSP ICEtow</t>
  </si>
  <si>
    <t>Utslag old</t>
  </si>
  <si>
    <t>T.O.</t>
  </si>
  <si>
    <t>A:I@W|nrmW|0C|BC</t>
  </si>
  <si>
    <t>B:I@W|nrmW|0C|AC</t>
  </si>
  <si>
    <t>8a</t>
  </si>
  <si>
    <t>C:-|nrmW|+15C|AC</t>
  </si>
  <si>
    <t>8b</t>
  </si>
  <si>
    <t>D:-|nrmW|mT@W|BC</t>
  </si>
  <si>
    <t>E:-|30%W|+15C|BC</t>
  </si>
  <si>
    <t>C</t>
  </si>
  <si>
    <t>F:-|30%W|+15C|AC</t>
  </si>
  <si>
    <t>5a</t>
  </si>
  <si>
    <t>G:-|0W|+15C|AC</t>
  </si>
  <si>
    <t>5b</t>
  </si>
  <si>
    <t>D</t>
  </si>
  <si>
    <t>H:-|0W|minT|BC</t>
  </si>
  <si>
    <t>Init:-|0W|0C|BC</t>
  </si>
  <si>
    <t>0C/TO:-|0W|0C|AC</t>
  </si>
  <si>
    <t>Ice@0W|0W|0C|BC</t>
  </si>
  <si>
    <t>F</t>
  </si>
  <si>
    <t>Ice@0W|0W|0C|AC</t>
  </si>
  <si>
    <t>hiW:-|hiW|0C|BC</t>
  </si>
  <si>
    <t>G</t>
  </si>
  <si>
    <t>hiW:-|hiW|0C|AC</t>
  </si>
  <si>
    <t>H</t>
  </si>
  <si>
    <t>35C:-|0W|+35C|BC</t>
  </si>
  <si>
    <t>stakn</t>
  </si>
  <si>
    <t>maxT:-|0W|sT|AC</t>
  </si>
  <si>
    <t>SC1:-|0W|SCT1|AC</t>
  </si>
  <si>
    <t>SC2:-|0W|SCT2|AC</t>
  </si>
  <si>
    <t>Init</t>
  </si>
  <si>
    <t>Vind</t>
  </si>
  <si>
    <t>Is</t>
  </si>
  <si>
    <t>Kryp</t>
  </si>
  <si>
    <r>
      <t>mm</t>
    </r>
    <r>
      <rPr>
        <vertAlign val="superscript"/>
        <sz val="12"/>
        <rFont val="Calibri"/>
        <family val="2"/>
        <scheme val="minor"/>
      </rPr>
      <t>2</t>
    </r>
  </si>
  <si>
    <r>
      <t xml:space="preserve">Uppspänning vid 0 </t>
    </r>
    <r>
      <rPr>
        <sz val="12"/>
        <color theme="1"/>
        <rFont val="Calibri"/>
        <family val="2"/>
      </rPr>
      <t>°C:</t>
    </r>
  </si>
  <si>
    <t>0°C, no wind load, no ice load, before creep</t>
  </si>
  <si>
    <t>0°C, no wind load, normal ice load, before creep</t>
  </si>
  <si>
    <t>#Iter: 21</t>
  </si>
  <si>
    <t>Calc. Message</t>
  </si>
  <si>
    <r>
      <t>a</t>
    </r>
    <r>
      <rPr>
        <i/>
        <vertAlign val="subscript"/>
        <sz val="11"/>
        <color theme="1"/>
        <rFont val="Calibri"/>
        <family val="2"/>
        <scheme val="minor"/>
      </rPr>
      <t>n</t>
    </r>
    <r>
      <rPr>
        <i/>
        <sz val="11"/>
        <color theme="1"/>
        <rFont val="Calibri"/>
        <family val="2"/>
        <scheme val="minor"/>
      </rPr>
      <t>[m]:</t>
    </r>
  </si>
  <si>
    <r>
      <t>σ</t>
    </r>
    <r>
      <rPr>
        <vertAlign val="subscript"/>
        <sz val="11"/>
        <color theme="1"/>
        <rFont val="Calibri"/>
        <family val="2"/>
      </rPr>
      <t>0</t>
    </r>
    <r>
      <rPr>
        <sz val="11"/>
        <color theme="1"/>
        <rFont val="Calibri"/>
        <family val="2"/>
      </rPr>
      <t>[MPa]:</t>
    </r>
  </si>
  <si>
    <r>
      <t>σ</t>
    </r>
    <r>
      <rPr>
        <i/>
        <vertAlign val="subscript"/>
        <sz val="11"/>
        <color theme="1"/>
        <rFont val="Calibri"/>
        <family val="2"/>
      </rPr>
      <t>0</t>
    </r>
    <r>
      <rPr>
        <i/>
        <sz val="11"/>
        <color theme="1"/>
        <rFont val="Calibri"/>
        <family val="2"/>
      </rPr>
      <t>[MPa]:</t>
    </r>
  </si>
  <si>
    <t>Results insulator deflection</t>
  </si>
  <si>
    <t xml:space="preserve">Results vertex position </t>
  </si>
  <si>
    <t>pressure</t>
  </si>
  <si>
    <t>load</t>
  </si>
  <si>
    <t>Stress</t>
  </si>
  <si>
    <t>Horizontal</t>
  </si>
  <si>
    <t>Force</t>
  </si>
  <si>
    <t>horizontal</t>
  </si>
  <si>
    <t>Sag</t>
  </si>
  <si>
    <t>true</t>
  </si>
  <si>
    <t>Template</t>
  </si>
  <si>
    <t>Parameter</t>
  </si>
  <si>
    <t>C, true</t>
  </si>
  <si>
    <t>Span plane</t>
  </si>
  <si>
    <t>angle</t>
  </si>
  <si>
    <t>projected</t>
  </si>
  <si>
    <t>Span</t>
  </si>
  <si>
    <t>Deflection</t>
  </si>
  <si>
    <t>direction</t>
  </si>
  <si>
    <t>At vertex</t>
  </si>
  <si>
    <t>Results sag-tension calculation</t>
  </si>
  <si>
    <r>
      <t>a</t>
    </r>
    <r>
      <rPr>
        <b/>
        <vertAlign val="subscript"/>
        <sz val="11"/>
        <color theme="1"/>
        <rFont val="Calibri"/>
        <family val="2"/>
        <scheme val="minor"/>
      </rPr>
      <t>v</t>
    </r>
  </si>
  <si>
    <t>weight span</t>
  </si>
  <si>
    <t>Insulator</t>
  </si>
  <si>
    <t>Insulator deflection</t>
  </si>
  <si>
    <t>Vertical</t>
  </si>
  <si>
    <t>projection</t>
  </si>
  <si>
    <t>Including inuslator deflection at attachment 2, excluding wind load cases</t>
  </si>
  <si>
    <t>Total Stress at conductor attachment</t>
  </si>
  <si>
    <t>Total Force at conductor attachment</t>
  </si>
  <si>
    <t>Usage of</t>
  </si>
  <si>
    <r>
      <t>σ</t>
    </r>
    <r>
      <rPr>
        <b/>
        <vertAlign val="subscript"/>
        <sz val="11"/>
        <color theme="1"/>
        <rFont val="Calibri"/>
        <family val="2"/>
        <scheme val="minor"/>
      </rPr>
      <t>A</t>
    </r>
  </si>
  <si>
    <r>
      <t>γ</t>
    </r>
    <r>
      <rPr>
        <b/>
        <vertAlign val="subscript"/>
        <sz val="11"/>
        <color theme="1"/>
        <rFont val="Calibri"/>
        <family val="2"/>
        <scheme val="minor"/>
      </rPr>
      <t>M</t>
    </r>
    <r>
      <rPr>
        <b/>
        <sz val="11"/>
        <color theme="1"/>
        <rFont val="Calibri"/>
        <family val="2"/>
        <scheme val="minor"/>
      </rPr>
      <t>·Force</t>
    </r>
  </si>
  <si>
    <t>Sag-tension calculation according to SS-EN 50341-2-18</t>
  </si>
  <si>
    <t>stress usage</t>
  </si>
  <si>
    <t>Results conductor</t>
  </si>
  <si>
    <t>qh[N/m2]: wind pressure(N:500 / E:800)</t>
  </si>
  <si>
    <t>ρI[kg/m3]: ice density (917,4)</t>
  </si>
  <si>
    <t>Cc[-]: drag factor (1,0)</t>
  </si>
  <si>
    <t>vertical length of</t>
  </si>
  <si>
    <t xml:space="preserve">Optional parameters wind on insulator </t>
  </si>
  <si>
    <t>Optional parameters span</t>
  </si>
  <si>
    <t>rI[mm]: radial ice thickness (4.6.4 SE.1.1-3)</t>
  </si>
  <si>
    <t>Ruling span and optional insulator deflection</t>
  </si>
  <si>
    <t>struct. resonance fact., "span factor" (0,5)</t>
  </si>
  <si>
    <r>
      <t>q</t>
    </r>
    <r>
      <rPr>
        <vertAlign val="subscript"/>
        <sz val="9"/>
        <color theme="4"/>
        <rFont val="Calibri"/>
        <family val="2"/>
      </rPr>
      <t>h</t>
    </r>
  </si>
  <si>
    <r>
      <t>r</t>
    </r>
    <r>
      <rPr>
        <vertAlign val="subscript"/>
        <sz val="9"/>
        <color theme="4"/>
        <rFont val="Calibri"/>
        <family val="2"/>
        <scheme val="minor"/>
      </rPr>
      <t>I</t>
    </r>
  </si>
  <si>
    <r>
      <t>ρ</t>
    </r>
    <r>
      <rPr>
        <vertAlign val="subscript"/>
        <sz val="9"/>
        <color theme="4"/>
        <rFont val="Calibri"/>
        <family val="2"/>
      </rPr>
      <t>I</t>
    </r>
    <r>
      <rPr>
        <sz val="9"/>
        <color theme="4"/>
        <rFont val="Calibri"/>
        <family val="2"/>
      </rPr>
      <t/>
    </r>
  </si>
  <si>
    <r>
      <t>[N/m</t>
    </r>
    <r>
      <rPr>
        <vertAlign val="superscript"/>
        <sz val="9"/>
        <color theme="4"/>
        <rFont val="Calibri"/>
        <family val="2"/>
      </rPr>
      <t>2</t>
    </r>
    <r>
      <rPr>
        <sz val="9"/>
        <color theme="4"/>
        <rFont val="Calibri"/>
        <family val="2"/>
      </rPr>
      <t>]</t>
    </r>
  </si>
  <si>
    <r>
      <t>[kg/m</t>
    </r>
    <r>
      <rPr>
        <vertAlign val="superscript"/>
        <sz val="9"/>
        <color theme="4"/>
        <rFont val="Calibri"/>
        <family val="2"/>
      </rPr>
      <t>3</t>
    </r>
    <r>
      <rPr>
        <sz val="9"/>
        <color theme="4"/>
        <rFont val="Calibri"/>
        <family val="2"/>
      </rPr>
      <t>]</t>
    </r>
  </si>
  <si>
    <t>If insulator deflection calc. is activated, given vertical lenght</t>
  </si>
  <si>
    <t>calculated value  from insulator data</t>
  </si>
  <si>
    <t>in vertex calculation for attachment2 is not used - instead</t>
  </si>
  <si>
    <t>projection *)</t>
  </si>
  <si>
    <t>Insulator data</t>
  </si>
  <si>
    <t>Span data</t>
  </si>
  <si>
    <t>Span data for</t>
  </si>
  <si>
    <t>3 spans</t>
  </si>
  <si>
    <r>
      <t>G</t>
    </r>
    <r>
      <rPr>
        <vertAlign val="subscript"/>
        <sz val="9"/>
        <color theme="4"/>
        <rFont val="Calibri"/>
        <family val="2"/>
        <scheme val="minor"/>
      </rPr>
      <t>q</t>
    </r>
    <r>
      <rPr>
        <sz val="9"/>
        <color theme="4"/>
        <rFont val="Calibri"/>
        <family val="2"/>
        <scheme val="minor"/>
      </rPr>
      <t>[-]:</t>
    </r>
  </si>
  <si>
    <r>
      <t>G</t>
    </r>
    <r>
      <rPr>
        <vertAlign val="subscript"/>
        <sz val="9"/>
        <color theme="4"/>
        <rFont val="Calibri"/>
        <family val="2"/>
        <scheme val="minor"/>
      </rPr>
      <t>c</t>
    </r>
    <r>
      <rPr>
        <sz val="9"/>
        <color theme="4"/>
        <rFont val="Calibri"/>
        <family val="2"/>
        <scheme val="minor"/>
      </rPr>
      <t>[-]:</t>
    </r>
  </si>
  <si>
    <r>
      <t>A</t>
    </r>
    <r>
      <rPr>
        <vertAlign val="subscript"/>
        <sz val="9"/>
        <color rgb="FF0070C0"/>
        <rFont val="Calibri"/>
        <family val="2"/>
        <scheme val="minor"/>
      </rPr>
      <t>ins</t>
    </r>
    <r>
      <rPr>
        <sz val="9"/>
        <color rgb="FF0070C0"/>
        <rFont val="Calibri"/>
        <family val="2"/>
      </rPr>
      <t xml:space="preserve"> [m</t>
    </r>
    <r>
      <rPr>
        <vertAlign val="superscript"/>
        <sz val="9"/>
        <color rgb="FF0070C0"/>
        <rFont val="Calibri"/>
        <family val="2"/>
      </rPr>
      <t>2</t>
    </r>
    <r>
      <rPr>
        <sz val="9"/>
        <color rgb="FF0070C0"/>
        <rFont val="Calibri"/>
        <family val="2"/>
      </rPr>
      <t>]:</t>
    </r>
  </si>
  <si>
    <r>
      <t>C</t>
    </r>
    <r>
      <rPr>
        <vertAlign val="subscript"/>
        <sz val="9"/>
        <color rgb="FF0070C0"/>
        <rFont val="Calibri"/>
        <family val="2"/>
      </rPr>
      <t>ins</t>
    </r>
    <r>
      <rPr>
        <sz val="9"/>
        <color rgb="FF0070C0"/>
        <rFont val="Calibri"/>
        <family val="2"/>
      </rPr>
      <t>[-]:</t>
    </r>
  </si>
  <si>
    <r>
      <t>G</t>
    </r>
    <r>
      <rPr>
        <vertAlign val="subscript"/>
        <sz val="9"/>
        <color rgb="FF0070C0"/>
        <rFont val="Calibri"/>
        <family val="2"/>
        <scheme val="minor"/>
      </rPr>
      <t>ins</t>
    </r>
    <r>
      <rPr>
        <sz val="9"/>
        <color rgb="FF0070C0"/>
        <rFont val="Calibri"/>
        <family val="2"/>
        <scheme val="minor"/>
      </rPr>
      <t>[-]:</t>
    </r>
  </si>
  <si>
    <r>
      <t>A</t>
    </r>
    <r>
      <rPr>
        <vertAlign val="subscript"/>
        <sz val="9"/>
        <color rgb="FF0070C0"/>
        <rFont val="Calibri"/>
        <family val="2"/>
        <scheme val="minor"/>
      </rPr>
      <t>add</t>
    </r>
    <r>
      <rPr>
        <sz val="9"/>
        <color rgb="FF0070C0"/>
        <rFont val="Calibri"/>
        <family val="2"/>
      </rPr>
      <t xml:space="preserve"> [m</t>
    </r>
    <r>
      <rPr>
        <vertAlign val="superscript"/>
        <sz val="9"/>
        <color rgb="FF0070C0"/>
        <rFont val="Calibri"/>
        <family val="2"/>
      </rPr>
      <t>2</t>
    </r>
    <r>
      <rPr>
        <sz val="9"/>
        <color rgb="FF0070C0"/>
        <rFont val="Calibri"/>
        <family val="2"/>
      </rPr>
      <t>]:</t>
    </r>
  </si>
  <si>
    <r>
      <t xml:space="preserve">maximal </t>
    </r>
    <r>
      <rPr>
        <b/>
        <vertAlign val="superscript"/>
        <sz val="11"/>
        <color theme="1"/>
        <rFont val="Calibri"/>
        <family val="2"/>
        <scheme val="minor"/>
      </rPr>
      <t>3)</t>
    </r>
  </si>
  <si>
    <t>3)</t>
  </si>
  <si>
    <t>max in the</t>
  </si>
  <si>
    <t>spans</t>
  </si>
  <si>
    <t xml:space="preserve">three given </t>
  </si>
  <si>
    <r>
      <t>lenght of insulator</t>
    </r>
    <r>
      <rPr>
        <i/>
        <vertAlign val="superscript"/>
        <sz val="9"/>
        <color theme="1"/>
        <rFont val="Calibri"/>
        <family val="2"/>
        <scheme val="minor"/>
      </rPr>
      <t xml:space="preserve"> 1)</t>
    </r>
  </si>
  <si>
    <t>2)</t>
  </si>
  <si>
    <t>1)</t>
  </si>
  <si>
    <r>
      <t xml:space="preserve">Optional parameters </t>
    </r>
    <r>
      <rPr>
        <vertAlign val="superscript"/>
        <sz val="9"/>
        <color theme="4"/>
        <rFont val="Calibri"/>
        <family val="2"/>
        <scheme val="minor"/>
      </rPr>
      <t>2)</t>
    </r>
  </si>
  <si>
    <t>Preset active</t>
  </si>
  <si>
    <t>Lastberäkning</t>
  </si>
  <si>
    <t>1a Extreme wind</t>
  </si>
  <si>
    <t>0</t>
  </si>
  <si>
    <t>2a Uniform ice</t>
  </si>
  <si>
    <t>3 Wind and ice</t>
  </si>
  <si>
    <t>Min.temp</t>
  </si>
  <si>
    <t>Min.temp wind</t>
  </si>
  <si>
    <t>Min.temp lindrag</t>
  </si>
  <si>
    <t>OPGW</t>
  </si>
  <si>
    <t>OPGW AFL</t>
  </si>
  <si>
    <t>116 OPGW (2x48 motsv. Dotterel) ASLH‐D(S)bb 2 x 48 SMF (AL3 / A20SA 74/42 ‐ 10,1)</t>
  </si>
  <si>
    <t>124 OPGW (1x48 motsv. Dotterel) ASLH‐D(S)bb 1 x 48 SMF (AL3 / A20SA 82/42 ‐ 10,9)</t>
  </si>
  <si>
    <t>Regleringstabell enligt norm SS-EN 50341-2-18</t>
  </si>
  <si>
    <t>Positive</t>
  </si>
  <si>
    <t>0°C, normal wind load, normal ice load, before creep</t>
  </si>
  <si>
    <t>Conductor data</t>
  </si>
  <si>
    <t>Loadcase</t>
  </si>
  <si>
    <t>description</t>
  </si>
  <si>
    <r>
      <t>[N/m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>]</t>
    </r>
  </si>
  <si>
    <t>Wind
pressure</t>
  </si>
  <si>
    <t>Radial ice
thickness</t>
  </si>
  <si>
    <t>Ice density</t>
  </si>
  <si>
    <t>Drag factor</t>
  </si>
  <si>
    <r>
      <t>q</t>
    </r>
    <r>
      <rPr>
        <vertAlign val="subscript"/>
        <sz val="8"/>
        <color theme="4"/>
        <rFont val="Calibri"/>
        <family val="2"/>
      </rPr>
      <t>h</t>
    </r>
  </si>
  <si>
    <r>
      <t>r</t>
    </r>
    <r>
      <rPr>
        <vertAlign val="subscript"/>
        <sz val="8"/>
        <color theme="4"/>
        <rFont val="Calibri"/>
        <family val="2"/>
        <scheme val="minor"/>
      </rPr>
      <t>I</t>
    </r>
  </si>
  <si>
    <r>
      <t>ρ</t>
    </r>
    <r>
      <rPr>
        <vertAlign val="subscript"/>
        <sz val="8"/>
        <color theme="4"/>
        <rFont val="Calibri"/>
        <family val="2"/>
      </rPr>
      <t>I</t>
    </r>
    <r>
      <rPr>
        <sz val="9"/>
        <color theme="4"/>
        <rFont val="Calibri"/>
        <family val="2"/>
      </rPr>
      <t/>
    </r>
  </si>
  <si>
    <r>
      <t>[N/m</t>
    </r>
    <r>
      <rPr>
        <vertAlign val="superscript"/>
        <sz val="8"/>
        <color theme="4"/>
        <rFont val="Calibri"/>
        <family val="2"/>
      </rPr>
      <t>2</t>
    </r>
    <r>
      <rPr>
        <sz val="8"/>
        <color theme="4"/>
        <rFont val="Calibri"/>
        <family val="2"/>
      </rPr>
      <t>]</t>
    </r>
  </si>
  <si>
    <r>
      <t>[kg/m</t>
    </r>
    <r>
      <rPr>
        <vertAlign val="superscript"/>
        <sz val="8"/>
        <color theme="4"/>
        <rFont val="Calibri"/>
        <family val="2"/>
      </rPr>
      <t>3</t>
    </r>
    <r>
      <rPr>
        <sz val="8"/>
        <color theme="4"/>
        <rFont val="Calibri"/>
        <family val="2"/>
      </rPr>
      <t>]</t>
    </r>
  </si>
  <si>
    <t>Optional parameters</t>
  </si>
  <si>
    <t>load case</t>
  </si>
  <si>
    <t>Ruling span</t>
  </si>
  <si>
    <t>Initial tension at 0 °C</t>
  </si>
  <si>
    <t>Height above ground</t>
  </si>
  <si>
    <t>h:</t>
  </si>
  <si>
    <r>
      <t>σ</t>
    </r>
    <r>
      <rPr>
        <vertAlign val="subscript"/>
        <sz val="12"/>
        <color theme="1"/>
        <rFont val="Calibri"/>
        <family val="2"/>
      </rPr>
      <t>0</t>
    </r>
    <r>
      <rPr>
        <sz val="12"/>
        <color theme="1"/>
        <rFont val="Calibri"/>
        <family val="2"/>
      </rPr>
      <t>:</t>
    </r>
  </si>
  <si>
    <r>
      <t>a</t>
    </r>
    <r>
      <rPr>
        <vertAlign val="subscript"/>
        <sz val="12"/>
        <color theme="1"/>
        <rFont val="Calibri"/>
        <family val="2"/>
        <scheme val="minor"/>
      </rPr>
      <t>n</t>
    </r>
    <r>
      <rPr>
        <sz val="12"/>
        <color theme="1"/>
        <rFont val="Calibri"/>
        <family val="2"/>
        <scheme val="minor"/>
      </rPr>
      <t>:</t>
    </r>
  </si>
  <si>
    <t>Min temperature</t>
  </si>
  <si>
    <t>Max temperature</t>
  </si>
  <si>
    <t>gust response factor</t>
  </si>
  <si>
    <t>struct. resonance fact., "span factor"</t>
  </si>
  <si>
    <r>
      <t>T</t>
    </r>
    <r>
      <rPr>
        <vertAlign val="subscript"/>
        <sz val="12"/>
        <color theme="1"/>
        <rFont val="Calibri"/>
        <family val="2"/>
        <scheme val="minor"/>
      </rPr>
      <t>min</t>
    </r>
    <r>
      <rPr>
        <sz val="12"/>
        <color theme="1"/>
        <rFont val="Calibri"/>
        <family val="2"/>
        <scheme val="minor"/>
      </rPr>
      <t>:</t>
    </r>
  </si>
  <si>
    <r>
      <t>T</t>
    </r>
    <r>
      <rPr>
        <vertAlign val="subscript"/>
        <sz val="12"/>
        <color theme="1"/>
        <rFont val="Calibri"/>
        <family val="2"/>
        <scheme val="minor"/>
      </rPr>
      <t>max</t>
    </r>
    <r>
      <rPr>
        <sz val="12"/>
        <color theme="1"/>
        <rFont val="Calibri"/>
        <family val="2"/>
        <scheme val="minor"/>
      </rPr>
      <t>:</t>
    </r>
  </si>
  <si>
    <t>Results</t>
  </si>
  <si>
    <t xml:space="preserve">Projekt: </t>
  </si>
  <si>
    <t>Littra:</t>
  </si>
  <si>
    <t>Granskad:</t>
  </si>
  <si>
    <t>Rev:</t>
  </si>
  <si>
    <t>Ritningsnummer:</t>
  </si>
  <si>
    <t>Godkänd:</t>
  </si>
  <si>
    <t>Datum:</t>
  </si>
  <si>
    <t>Konstr:</t>
  </si>
  <si>
    <t>Lina / delsträcka:</t>
  </si>
  <si>
    <t>Uppdragsnr:</t>
  </si>
  <si>
    <r>
      <t>A [mm</t>
    </r>
    <r>
      <rPr>
        <vertAlign val="superscript"/>
        <sz val="9"/>
        <rFont val="Calibri"/>
        <family val="2"/>
        <scheme val="minor"/>
      </rPr>
      <t>2</t>
    </r>
    <r>
      <rPr>
        <sz val="9"/>
        <rFont val="Calibri"/>
        <family val="2"/>
        <scheme val="minor"/>
      </rPr>
      <t>]:</t>
    </r>
  </si>
  <si>
    <r>
      <t>g</t>
    </r>
    <r>
      <rPr>
        <vertAlign val="subscript"/>
        <sz val="9"/>
        <rFont val="Calibri"/>
        <family val="2"/>
        <scheme val="minor"/>
      </rPr>
      <t>e</t>
    </r>
    <r>
      <rPr>
        <sz val="9"/>
        <rFont val="Calibri"/>
        <family val="2"/>
        <scheme val="minor"/>
      </rPr>
      <t>[N/m]:</t>
    </r>
  </si>
  <si>
    <r>
      <t>σ</t>
    </r>
    <r>
      <rPr>
        <vertAlign val="subscript"/>
        <sz val="9"/>
        <rFont val="Calibri"/>
        <family val="2"/>
      </rPr>
      <t>A</t>
    </r>
    <r>
      <rPr>
        <sz val="9"/>
        <rFont val="Calibri"/>
        <family val="2"/>
      </rPr>
      <t>[MPa]:</t>
    </r>
  </si>
  <si>
    <r>
      <t>E</t>
    </r>
    <r>
      <rPr>
        <vertAlign val="subscript"/>
        <sz val="9"/>
        <rFont val="Calibri"/>
        <family val="2"/>
        <scheme val="minor"/>
      </rPr>
      <t>iL</t>
    </r>
    <r>
      <rPr>
        <sz val="9"/>
        <rFont val="Calibri"/>
        <family val="2"/>
        <scheme val="minor"/>
      </rPr>
      <t>[MPa]:</t>
    </r>
  </si>
  <si>
    <r>
      <t>E</t>
    </r>
    <r>
      <rPr>
        <vertAlign val="subscript"/>
        <sz val="9"/>
        <rFont val="Calibri"/>
        <family val="2"/>
        <scheme val="minor"/>
      </rPr>
      <t>p</t>
    </r>
    <r>
      <rPr>
        <sz val="9"/>
        <rFont val="Calibri"/>
        <family val="2"/>
        <scheme val="minor"/>
      </rPr>
      <t>[MPa]:</t>
    </r>
  </si>
  <si>
    <r>
      <t>σ</t>
    </r>
    <r>
      <rPr>
        <vertAlign val="subscript"/>
        <sz val="9"/>
        <rFont val="Calibri"/>
        <family val="2"/>
      </rPr>
      <t>p</t>
    </r>
    <r>
      <rPr>
        <sz val="9"/>
        <rFont val="Calibri"/>
        <family val="2"/>
      </rPr>
      <t>[MPa]:</t>
    </r>
  </si>
  <si>
    <r>
      <t>for calculation of E</t>
    </r>
    <r>
      <rPr>
        <i/>
        <vertAlign val="subscript"/>
        <sz val="9"/>
        <rFont val="Calibri"/>
        <family val="2"/>
        <scheme val="minor"/>
      </rPr>
      <t>iU</t>
    </r>
  </si>
  <si>
    <r>
      <t>ε</t>
    </r>
    <r>
      <rPr>
        <vertAlign val="subscript"/>
        <sz val="9"/>
        <rFont val="Calibri"/>
        <family val="2"/>
      </rPr>
      <t>C</t>
    </r>
    <r>
      <rPr>
        <sz val="9"/>
        <rFont val="Calibri"/>
        <family val="2"/>
      </rPr>
      <t>[‰]:</t>
    </r>
  </si>
  <si>
    <r>
      <t>ΔT</t>
    </r>
    <r>
      <rPr>
        <vertAlign val="subscript"/>
        <sz val="9"/>
        <rFont val="Calibri"/>
        <family val="2"/>
      </rPr>
      <t>C</t>
    </r>
    <r>
      <rPr>
        <sz val="9"/>
        <rFont val="Calibri"/>
        <family val="2"/>
      </rPr>
      <t>[°C]:</t>
    </r>
  </si>
  <si>
    <r>
      <t>α</t>
    </r>
    <r>
      <rPr>
        <vertAlign val="subscript"/>
        <sz val="9"/>
        <rFont val="Calibri"/>
        <family val="2"/>
      </rPr>
      <t>T</t>
    </r>
    <r>
      <rPr>
        <sz val="9"/>
        <rFont val="Calibri"/>
        <family val="2"/>
      </rPr>
      <t>[10</t>
    </r>
    <r>
      <rPr>
        <vertAlign val="superscript"/>
        <sz val="9"/>
        <rFont val="Calibri"/>
        <family val="2"/>
      </rPr>
      <t>-6</t>
    </r>
    <r>
      <rPr>
        <sz val="9"/>
        <rFont val="Calibri"/>
        <family val="2"/>
      </rPr>
      <t>/°C]:</t>
    </r>
  </si>
  <si>
    <t>SS-EN 50341-2-18</t>
  </si>
  <si>
    <t>Ruling span sag-tension calculation</t>
  </si>
  <si>
    <t>Off</t>
  </si>
  <si>
    <t>qh</t>
  </si>
  <si>
    <t>rI</t>
  </si>
  <si>
    <t>ρI</t>
  </si>
  <si>
    <t>Optional parameters general preset</t>
  </si>
  <si>
    <t/>
  </si>
  <si>
    <t>50°C, no wind load, no ice load, after creep</t>
  </si>
  <si>
    <t>LE</t>
  </si>
  <si>
    <t>Faslina stp 3-17</t>
  </si>
  <si>
    <t>Exempel</t>
  </si>
  <si>
    <t>XY12</t>
  </si>
  <si>
    <t>3-000000</t>
  </si>
  <si>
    <t>0°C, extreme wind load, no ice load, before creep</t>
  </si>
  <si>
    <t>-20°C, no wind load, no ice load, before creep</t>
  </si>
  <si>
    <r>
      <t>[N/m</t>
    </r>
    <r>
      <rPr>
        <vertAlign val="superscript"/>
        <sz val="9"/>
        <color theme="1"/>
        <rFont val="Calibri"/>
        <family val="2"/>
        <scheme val="minor"/>
      </rPr>
      <t>2</t>
    </r>
    <r>
      <rPr>
        <sz val="9"/>
        <color theme="1"/>
        <rFont val="Calibri"/>
        <family val="2"/>
        <scheme val="minor"/>
      </rPr>
      <t>]</t>
    </r>
  </si>
  <si>
    <r>
      <t>a</t>
    </r>
    <r>
      <rPr>
        <vertAlign val="subscript"/>
        <sz val="9"/>
        <color theme="1"/>
        <rFont val="Calibri"/>
        <family val="2"/>
        <scheme val="minor"/>
      </rPr>
      <t>n</t>
    </r>
    <r>
      <rPr>
        <sz val="9"/>
        <color theme="1"/>
        <rFont val="Calibri"/>
        <family val="2"/>
        <scheme val="minor"/>
      </rPr>
      <t>[m]:</t>
    </r>
  </si>
  <si>
    <r>
      <t>σ</t>
    </r>
    <r>
      <rPr>
        <vertAlign val="subscript"/>
        <sz val="9"/>
        <color theme="1"/>
        <rFont val="Calibri"/>
        <family val="2"/>
      </rPr>
      <t>0</t>
    </r>
    <r>
      <rPr>
        <sz val="9"/>
        <color theme="1"/>
        <rFont val="Calibri"/>
        <family val="2"/>
      </rPr>
      <t>[MPa]:</t>
    </r>
  </si>
  <si>
    <r>
      <t>T</t>
    </r>
    <r>
      <rPr>
        <vertAlign val="subscript"/>
        <sz val="9"/>
        <color theme="1"/>
        <rFont val="Calibri"/>
        <family val="2"/>
        <scheme val="minor"/>
      </rPr>
      <t>min</t>
    </r>
    <r>
      <rPr>
        <sz val="9"/>
        <color theme="1"/>
        <rFont val="Calibri"/>
        <family val="2"/>
        <scheme val="minor"/>
      </rPr>
      <t>[°C]:</t>
    </r>
  </si>
  <si>
    <r>
      <t>T</t>
    </r>
    <r>
      <rPr>
        <vertAlign val="subscript"/>
        <sz val="9"/>
        <color theme="1"/>
        <rFont val="Calibri"/>
        <family val="2"/>
        <scheme val="minor"/>
      </rPr>
      <t>max</t>
    </r>
    <r>
      <rPr>
        <sz val="9"/>
        <color theme="1"/>
        <rFont val="Calibri"/>
        <family val="2"/>
        <scheme val="minor"/>
      </rPr>
      <t>[°C]:</t>
    </r>
  </si>
  <si>
    <t>-40°C, no wind load, no ice load, before creep</t>
  </si>
  <si>
    <t>-20°C, normal wind load, no ice load, before creep</t>
  </si>
  <si>
    <t>Namn</t>
  </si>
  <si>
    <t>Min.temp stringing</t>
  </si>
  <si>
    <t>593 AL59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</si>
</sst>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"/>
    <numFmt numFmtId="165" formatCode="\+0;\-0;0"/>
    <numFmt numFmtId="166" formatCode="0.0000"/>
    <numFmt numFmtId="167" formatCode="0.000"/>
  </numFmts>
  <fonts count="10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vertAlign val="subscript"/>
      <sz val="11"/>
      <color rgb="FF0070C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4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</font>
    <font>
      <sz val="8"/>
      <color theme="1"/>
      <name val="Calibri"/>
      <family val="2"/>
      <scheme val="minor"/>
    </font>
    <font>
      <sz val="8"/>
      <color theme="0" tint="-0.1499984740745262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9"/>
      <color theme="4"/>
      <name val="Calibri"/>
      <family val="2"/>
      <scheme val="minor"/>
    </font>
    <font>
      <sz val="9"/>
      <color theme="4"/>
      <name val="Calibri"/>
      <family val="2"/>
    </font>
    <font>
      <sz val="8"/>
      <color theme="4"/>
      <name val="Calibri"/>
      <family val="2"/>
      <scheme val="minor"/>
    </font>
    <font>
      <i/>
      <sz val="9"/>
      <color theme="0" tint="-0.499984740745262"/>
      <name val="Calibri"/>
      <family val="2"/>
      <scheme val="minor"/>
    </font>
    <font>
      <i/>
      <vertAlign val="subscript"/>
      <sz val="9"/>
      <color theme="0" tint="-0.499984740745262"/>
      <name val="Calibri"/>
      <family val="2"/>
      <scheme val="minor"/>
    </font>
    <font>
      <sz val="8"/>
      <name val="Calibri"/>
      <family val="2"/>
      <scheme val="minor"/>
    </font>
    <font>
      <sz val="8"/>
      <color theme="4"/>
      <name val="Calibri"/>
      <family val="2"/>
    </font>
    <font>
      <b/>
      <sz val="8"/>
      <color theme="4"/>
      <name val="Calibri"/>
      <family val="2"/>
      <scheme val="minor"/>
    </font>
    <font>
      <sz val="8"/>
      <color theme="0"/>
      <name val="AngsanaUPC"/>
      <family val="1"/>
    </font>
    <font>
      <sz val="9"/>
      <color theme="0" tint="-0.499984740745262"/>
      <name val="Calibri"/>
      <family val="2"/>
      <scheme val="minor"/>
    </font>
    <font>
      <vertAlign val="superscript"/>
      <sz val="9"/>
      <color theme="0" tint="-0.499984740745262"/>
      <name val="Calibri"/>
      <family val="2"/>
      <scheme val="minor"/>
    </font>
    <font>
      <vertAlign val="subscript"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</font>
    <font>
      <vertAlign val="subscript"/>
      <sz val="9"/>
      <color theme="0" tint="-0.499984740745262"/>
      <name val="Calibri"/>
      <family val="2"/>
    </font>
    <font>
      <vertAlign val="superscript"/>
      <sz val="9"/>
      <color theme="0" tint="-0.499984740745262"/>
      <name val="Calibri"/>
      <family val="2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</font>
    <font>
      <b/>
      <sz val="11"/>
      <color rgb="FFFFFF00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</font>
    <font>
      <b/>
      <sz val="14"/>
      <color theme="1"/>
      <name val="Calibri"/>
      <family val="2"/>
      <scheme val="minor"/>
    </font>
    <font>
      <i/>
      <vertAlign val="subscript"/>
      <sz val="11"/>
      <color theme="1"/>
      <name val="Calibri"/>
      <family val="2"/>
    </font>
    <font>
      <i/>
      <vertAlign val="subscript"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i/>
      <vertAlign val="subscript"/>
      <sz val="9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vertAlign val="superscript"/>
      <sz val="12"/>
      <name val="Calibri"/>
      <family val="2"/>
      <scheme val="minor"/>
    </font>
    <font>
      <sz val="12"/>
      <color theme="1"/>
      <name val="Calibri"/>
      <family val="2"/>
    </font>
    <font>
      <u/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i/>
      <sz val="9"/>
      <color theme="4"/>
      <name val="Calibri"/>
      <family val="2"/>
      <scheme val="minor"/>
    </font>
    <font>
      <sz val="9"/>
      <name val="Calibri"/>
      <family val="2"/>
      <scheme val="minor"/>
    </font>
    <font>
      <sz val="9"/>
      <color rgb="FF0070C0"/>
      <name val="Calibri"/>
      <family val="2"/>
      <scheme val="minor"/>
    </font>
    <font>
      <vertAlign val="subscript"/>
      <sz val="9"/>
      <color theme="4"/>
      <name val="Calibri"/>
      <family val="2"/>
    </font>
    <font>
      <vertAlign val="subscript"/>
      <sz val="9"/>
      <color theme="4"/>
      <name val="Calibri"/>
      <family val="2"/>
      <scheme val="minor"/>
    </font>
    <font>
      <vertAlign val="superscript"/>
      <sz val="9"/>
      <color theme="4"/>
      <name val="Calibri"/>
      <family val="2"/>
    </font>
    <font>
      <sz val="11"/>
      <name val="Calibri"/>
      <family val="2"/>
      <scheme val="minor"/>
    </font>
    <font>
      <b/>
      <sz val="9"/>
      <color theme="4"/>
      <name val="Calibri"/>
      <family val="2"/>
      <scheme val="minor"/>
    </font>
    <font>
      <sz val="9"/>
      <color theme="0" tint="-0.14999847407452621"/>
      <name val="Calibri"/>
      <family val="2"/>
      <scheme val="minor"/>
    </font>
    <font>
      <vertAlign val="subscript"/>
      <sz val="9"/>
      <color rgb="FF0070C0"/>
      <name val="Calibri"/>
      <family val="2"/>
      <scheme val="minor"/>
    </font>
    <font>
      <sz val="9"/>
      <color rgb="FF0070C0"/>
      <name val="Calibri"/>
      <family val="2"/>
    </font>
    <font>
      <vertAlign val="superscript"/>
      <sz val="9"/>
      <color rgb="FF0070C0"/>
      <name val="Calibri"/>
      <family val="2"/>
    </font>
    <font>
      <vertAlign val="subscript"/>
      <sz val="9"/>
      <color rgb="FF0070C0"/>
      <name val="Calibri"/>
      <family val="2"/>
    </font>
    <font>
      <b/>
      <vertAlign val="superscript"/>
      <sz val="11"/>
      <color theme="1"/>
      <name val="Calibri"/>
      <family val="2"/>
      <scheme val="minor"/>
    </font>
    <font>
      <i/>
      <sz val="9"/>
      <name val="Calibri"/>
      <family val="2"/>
      <scheme val="minor"/>
    </font>
    <font>
      <i/>
      <vertAlign val="superscript"/>
      <sz val="9"/>
      <color theme="1"/>
      <name val="Calibri"/>
      <family val="2"/>
      <scheme val="minor"/>
    </font>
    <font>
      <vertAlign val="superscript"/>
      <sz val="11"/>
      <name val="Calibri"/>
      <family val="2"/>
      <scheme val="minor"/>
    </font>
    <font>
      <vertAlign val="superscript"/>
      <sz val="9"/>
      <color theme="4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vertAlign val="subscript"/>
      <sz val="8"/>
      <color theme="4"/>
      <name val="Calibri"/>
      <family val="2"/>
    </font>
    <font>
      <vertAlign val="subscript"/>
      <sz val="8"/>
      <color theme="4"/>
      <name val="Calibri"/>
      <family val="2"/>
      <scheme val="minor"/>
    </font>
    <font>
      <vertAlign val="superscript"/>
      <sz val="8"/>
      <color theme="4"/>
      <name val="Calibri"/>
      <family val="2"/>
    </font>
    <font>
      <b/>
      <sz val="12"/>
      <name val="Calibri"/>
      <family val="2"/>
      <scheme val="minor"/>
    </font>
    <font>
      <b/>
      <sz val="12"/>
      <color theme="1"/>
      <name val="Calibri"/>
      <family val="2"/>
    </font>
    <font>
      <vertAlign val="subscript"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vertAlign val="subscript"/>
      <sz val="12"/>
      <color theme="1"/>
      <name val="Calibri"/>
      <family val="2"/>
    </font>
    <font>
      <b/>
      <sz val="9"/>
      <color theme="1"/>
      <name val="Calibri"/>
      <family val="2"/>
    </font>
    <font>
      <sz val="12"/>
      <color theme="0" tint="-0.14999847407452621"/>
      <name val="Calibri"/>
      <family val="2"/>
      <scheme val="minor"/>
    </font>
    <font>
      <b/>
      <sz val="9"/>
      <color theme="1"/>
      <name val="Calibri"/>
      <family val="2"/>
      <scheme val="minor"/>
    </font>
    <font>
      <vertAlign val="superscript"/>
      <sz val="9"/>
      <name val="Calibri"/>
      <family val="2"/>
      <scheme val="minor"/>
    </font>
    <font>
      <vertAlign val="subscript"/>
      <sz val="9"/>
      <name val="Calibri"/>
      <family val="2"/>
      <scheme val="minor"/>
    </font>
    <font>
      <sz val="9"/>
      <name val="Calibri"/>
      <family val="2"/>
    </font>
    <font>
      <vertAlign val="subscript"/>
      <sz val="9"/>
      <name val="Calibri"/>
      <family val="2"/>
    </font>
    <font>
      <i/>
      <vertAlign val="subscript"/>
      <sz val="9"/>
      <name val="Calibri"/>
      <family val="2"/>
      <scheme val="minor"/>
    </font>
    <font>
      <vertAlign val="superscript"/>
      <sz val="9"/>
      <name val="Calibri"/>
      <family val="2"/>
    </font>
    <font>
      <sz val="11"/>
      <color rgb="FF000000"/>
      <name val="Calibri"/>
      <family val="2"/>
    </font>
    <font>
      <vertAlign val="superscript"/>
      <sz val="9"/>
      <color theme="1"/>
      <name val="Calibri"/>
      <family val="2"/>
      <scheme val="minor"/>
    </font>
    <font>
      <vertAlign val="subscript"/>
      <sz val="9"/>
      <color theme="1"/>
      <name val="Calibri"/>
      <family val="2"/>
      <scheme val="minor"/>
    </font>
    <font>
      <sz val="9"/>
      <color theme="1"/>
      <name val="Calibri"/>
      <family val="2"/>
    </font>
    <font>
      <vertAlign val="subscript"/>
      <sz val="9"/>
      <color theme="1"/>
      <name val="Calibri"/>
      <family val="2"/>
    </font>
    <font>
      <i/>
      <sz val="8"/>
      <color theme="0" tint="-0.249977111117893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5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9" fontId="56" fillId="0" borderId="0" applyFont="0" applyFill="0" applyBorder="0" applyAlignment="0" applyProtection="0"/>
  </cellStyleXfs>
  <cellXfs count="619">
    <xf numFmtId="0" fontId="0" fillId="0" borderId="0" xfId="0"/>
    <xf numFmtId="0" fontId="2" fillId="0" borderId="0" xfId="0" applyFont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0" fillId="0" borderId="1" xfId="0" applyBorder="1" applyAlignment="1">
      <alignment horizontal="left"/>
    </xf>
    <xf numFmtId="0" fontId="2" fillId="2" borderId="1" xfId="0" applyFont="1" applyFill="1" applyBorder="1" applyAlignment="1">
      <alignment horizontal="center"/>
    </xf>
    <xf numFmtId="1" fontId="3" fillId="0" borderId="1" xfId="0" applyNumberFormat="1" applyFont="1" applyBorder="1" applyAlignment="1">
      <alignment horizontal="left"/>
    </xf>
    <xf numFmtId="0" fontId="9" fillId="0" borderId="1" xfId="0" applyFont="1" applyBorder="1" applyAlignment="1">
      <alignment horizontal="left"/>
    </xf>
    <xf numFmtId="164" fontId="3" fillId="0" borderId="1" xfId="0" applyNumberFormat="1" applyFont="1" applyBorder="1" applyAlignment="1">
      <alignment horizontal="left"/>
    </xf>
    <xf numFmtId="0" fontId="0" fillId="0" borderId="1" xfId="0" applyBorder="1"/>
    <xf numFmtId="1" fontId="3" fillId="0" borderId="0" xfId="0" applyNumberFormat="1" applyFont="1" applyAlignment="1">
      <alignment horizontal="left"/>
    </xf>
    <xf numFmtId="0" fontId="9" fillId="0" borderId="0" xfId="0" applyFont="1" applyAlignment="1">
      <alignment horizontal="left"/>
    </xf>
    <xf numFmtId="164" fontId="3" fillId="0" borderId="0" xfId="0" applyNumberFormat="1" applyFont="1" applyBorder="1" applyAlignment="1">
      <alignment horizontal="left"/>
    </xf>
    <xf numFmtId="1" fontId="3" fillId="0" borderId="0" xfId="0" applyNumberFormat="1" applyFont="1" applyBorder="1" applyAlignment="1">
      <alignment horizontal="left"/>
    </xf>
    <xf numFmtId="0" fontId="0" fillId="0" borderId="0" xfId="0" applyBorder="1"/>
    <xf numFmtId="0" fontId="1" fillId="0" borderId="0" xfId="0" applyFont="1" applyAlignment="1">
      <alignment horizontal="left"/>
    </xf>
    <xf numFmtId="0" fontId="3" fillId="3" borderId="0" xfId="0" applyFont="1" applyFill="1" applyAlignment="1">
      <alignment horizontal="left"/>
    </xf>
    <xf numFmtId="2" fontId="3" fillId="3" borderId="0" xfId="0" applyNumberFormat="1" applyFont="1" applyFill="1" applyAlignment="1">
      <alignment horizontal="left"/>
    </xf>
    <xf numFmtId="1" fontId="3" fillId="3" borderId="0" xfId="0" applyNumberFormat="1" applyFont="1" applyFill="1" applyAlignment="1">
      <alignment horizontal="left"/>
    </xf>
    <xf numFmtId="0" fontId="9" fillId="3" borderId="0" xfId="0" applyFont="1" applyFill="1" applyAlignment="1">
      <alignment horizontal="left"/>
    </xf>
    <xf numFmtId="164" fontId="3" fillId="3" borderId="0" xfId="0" applyNumberFormat="1" applyFont="1" applyFill="1" applyBorder="1" applyAlignment="1">
      <alignment horizontal="left"/>
    </xf>
    <xf numFmtId="1" fontId="9" fillId="3" borderId="0" xfId="0" applyNumberFormat="1" applyFont="1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3" borderId="1" xfId="0" applyFill="1" applyBorder="1" applyAlignment="1">
      <alignment horizontal="left"/>
    </xf>
    <xf numFmtId="164" fontId="3" fillId="3" borderId="1" xfId="0" applyNumberFormat="1" applyFont="1" applyFill="1" applyBorder="1" applyAlignment="1">
      <alignment horizontal="left"/>
    </xf>
    <xf numFmtId="1" fontId="3" fillId="3" borderId="1" xfId="0" applyNumberFormat="1" applyFont="1" applyFill="1" applyBorder="1" applyAlignment="1">
      <alignment horizontal="left"/>
    </xf>
    <xf numFmtId="0" fontId="0" fillId="3" borderId="0" xfId="0" applyFill="1" applyAlignment="1">
      <alignment horizontal="left"/>
    </xf>
    <xf numFmtId="1" fontId="3" fillId="3" borderId="0" xfId="0" applyNumberFormat="1" applyFont="1" applyFill="1" applyBorder="1" applyAlignment="1">
      <alignment horizontal="left"/>
    </xf>
    <xf numFmtId="0" fontId="10" fillId="0" borderId="0" xfId="0" applyFont="1" applyAlignment="1">
      <alignment horizontal="left"/>
    </xf>
    <xf numFmtId="2" fontId="3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/>
    </xf>
    <xf numFmtId="0" fontId="10" fillId="0" borderId="0" xfId="0" applyFont="1" applyBorder="1"/>
    <xf numFmtId="0" fontId="10" fillId="0" borderId="0" xfId="0" applyFont="1"/>
    <xf numFmtId="0" fontId="3" fillId="0" borderId="1" xfId="0" applyFont="1" applyBorder="1" applyAlignment="1">
      <alignment horizontal="left"/>
    </xf>
    <xf numFmtId="2" fontId="3" fillId="0" borderId="1" xfId="0" applyNumberFormat="1" applyFont="1" applyBorder="1" applyAlignment="1">
      <alignment horizontal="left"/>
    </xf>
    <xf numFmtId="1" fontId="9" fillId="0" borderId="1" xfId="0" applyNumberFormat="1" applyFont="1" applyBorder="1" applyAlignment="1">
      <alignment horizontal="left"/>
    </xf>
    <xf numFmtId="0" fontId="3" fillId="0" borderId="0" xfId="0" applyFont="1" applyBorder="1" applyAlignment="1">
      <alignment horizontal="left"/>
    </xf>
    <xf numFmtId="0" fontId="9" fillId="0" borderId="0" xfId="0" applyFont="1" applyBorder="1" applyAlignment="1">
      <alignment horizontal="left"/>
    </xf>
    <xf numFmtId="0" fontId="11" fillId="0" borderId="0" xfId="0" applyFont="1"/>
    <xf numFmtId="0" fontId="13" fillId="2" borderId="1" xfId="0" applyFont="1" applyFill="1" applyBorder="1" applyAlignment="1">
      <alignment horizontal="left"/>
    </xf>
    <xf numFmtId="0" fontId="13" fillId="2" borderId="0" xfId="0" applyFont="1" applyFill="1" applyAlignment="1">
      <alignment horizontal="left"/>
    </xf>
    <xf numFmtId="0" fontId="0" fillId="0" borderId="2" xfId="0" applyBorder="1" applyAlignment="1">
      <alignment horizontal="center"/>
    </xf>
    <xf numFmtId="0" fontId="0" fillId="3" borderId="0" xfId="0" applyFont="1" applyFill="1"/>
    <xf numFmtId="0" fontId="19" fillId="0" borderId="0" xfId="0" applyFont="1" applyAlignment="1">
      <alignment horizontal="left"/>
    </xf>
    <xf numFmtId="0" fontId="22" fillId="0" borderId="0" xfId="0" applyFont="1"/>
    <xf numFmtId="0" fontId="17" fillId="0" borderId="0" xfId="0" applyFont="1"/>
    <xf numFmtId="0" fontId="0" fillId="0" borderId="0" xfId="0" applyFill="1"/>
    <xf numFmtId="0" fontId="0" fillId="6" borderId="2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27" fillId="0" borderId="0" xfId="0" applyFont="1"/>
    <xf numFmtId="0" fontId="26" fillId="0" borderId="0" xfId="0" applyFont="1"/>
    <xf numFmtId="0" fontId="26" fillId="0" borderId="0" xfId="0" applyFont="1" applyFill="1" applyBorder="1"/>
    <xf numFmtId="0" fontId="17" fillId="6" borderId="2" xfId="0" applyFont="1" applyFill="1" applyBorder="1" applyAlignment="1">
      <alignment horizontal="center"/>
    </xf>
    <xf numFmtId="0" fontId="17" fillId="6" borderId="4" xfId="0" applyFont="1" applyFill="1" applyBorder="1" applyAlignment="1">
      <alignment horizontal="center"/>
    </xf>
    <xf numFmtId="0" fontId="17" fillId="6" borderId="7" xfId="0" applyFont="1" applyFill="1" applyBorder="1" applyAlignment="1">
      <alignment horizontal="center"/>
    </xf>
    <xf numFmtId="0" fontId="25" fillId="0" borderId="0" xfId="0" applyFont="1" applyFill="1" applyBorder="1"/>
    <xf numFmtId="0" fontId="0" fillId="0" borderId="0" xfId="0" applyFill="1" applyBorder="1"/>
    <xf numFmtId="0" fontId="28" fillId="5" borderId="0" xfId="0" applyFont="1" applyFill="1" applyAlignment="1">
      <alignment horizontal="center" vertical="center"/>
    </xf>
    <xf numFmtId="0" fontId="17" fillId="6" borderId="8" xfId="0" applyFont="1" applyFill="1" applyBorder="1" applyAlignment="1">
      <alignment horizontal="center"/>
    </xf>
    <xf numFmtId="0" fontId="0" fillId="0" borderId="17" xfId="0" applyBorder="1"/>
    <xf numFmtId="0" fontId="0" fillId="0" borderId="4" xfId="0" applyBorder="1"/>
    <xf numFmtId="0" fontId="0" fillId="0" borderId="7" xfId="0" applyBorder="1"/>
    <xf numFmtId="0" fontId="0" fillId="0" borderId="18" xfId="0" applyBorder="1"/>
    <xf numFmtId="0" fontId="35" fillId="0" borderId="0" xfId="0" applyFont="1" applyBorder="1" applyAlignment="1">
      <alignment horizontal="center"/>
    </xf>
    <xf numFmtId="0" fontId="11" fillId="0" borderId="0" xfId="0" applyFont="1" applyBorder="1" applyAlignment="1">
      <alignment horizontal="left"/>
    </xf>
    <xf numFmtId="0" fontId="11" fillId="0" borderId="0" xfId="0" applyFont="1" applyBorder="1" applyAlignment="1">
      <alignment horizontal="center"/>
    </xf>
    <xf numFmtId="0" fontId="11" fillId="0" borderId="0" xfId="0" applyFont="1" applyFill="1" applyBorder="1" applyAlignment="1">
      <alignment horizontal="right"/>
    </xf>
    <xf numFmtId="2" fontId="35" fillId="0" borderId="0" xfId="0" applyNumberFormat="1" applyFont="1" applyBorder="1" applyAlignment="1">
      <alignment horizontal="center"/>
    </xf>
    <xf numFmtId="0" fontId="35" fillId="0" borderId="0" xfId="0" applyFont="1" applyAlignment="1">
      <alignment horizontal="center"/>
    </xf>
    <xf numFmtId="0" fontId="37" fillId="8" borderId="26" xfId="0" applyFont="1" applyFill="1" applyBorder="1" applyAlignment="1">
      <alignment horizontal="center"/>
    </xf>
    <xf numFmtId="0" fontId="11" fillId="0" borderId="0" xfId="0" applyFont="1" applyBorder="1"/>
    <xf numFmtId="0" fontId="17" fillId="0" borderId="18" xfId="0" applyFont="1" applyBorder="1" applyAlignment="1">
      <alignment horizontal="left"/>
    </xf>
    <xf numFmtId="0" fontId="17" fillId="0" borderId="0" xfId="0" applyFont="1" applyBorder="1" applyAlignment="1">
      <alignment horizontal="left"/>
    </xf>
    <xf numFmtId="0" fontId="17" fillId="0" borderId="19" xfId="0" applyFont="1" applyBorder="1" applyAlignment="1">
      <alignment horizontal="left"/>
    </xf>
    <xf numFmtId="0" fontId="17" fillId="0" borderId="0" xfId="0" applyFont="1" applyAlignment="1">
      <alignment horizontal="left"/>
    </xf>
    <xf numFmtId="49" fontId="39" fillId="0" borderId="0" xfId="0" applyNumberFormat="1" applyFont="1" applyAlignment="1">
      <alignment horizontal="left"/>
    </xf>
    <xf numFmtId="0" fontId="15" fillId="0" borderId="0" xfId="0" applyFont="1" applyAlignment="1">
      <alignment horizontal="center" vertical="center"/>
    </xf>
    <xf numFmtId="0" fontId="3" fillId="0" borderId="2" xfId="0" applyFont="1" applyBorder="1"/>
    <xf numFmtId="2" fontId="3" fillId="0" borderId="2" xfId="0" applyNumberFormat="1" applyFont="1" applyBorder="1"/>
    <xf numFmtId="1" fontId="3" fillId="0" borderId="2" xfId="0" applyNumberFormat="1" applyFont="1" applyBorder="1"/>
    <xf numFmtId="0" fontId="17" fillId="0" borderId="2" xfId="0" applyFont="1" applyBorder="1" applyAlignment="1">
      <alignment horizontal="left"/>
    </xf>
    <xf numFmtId="0" fontId="17" fillId="0" borderId="2" xfId="0" applyFont="1" applyBorder="1" applyAlignment="1">
      <alignment horizontal="center"/>
    </xf>
    <xf numFmtId="0" fontId="11" fillId="6" borderId="27" xfId="0" applyFont="1" applyFill="1" applyBorder="1" applyAlignment="1">
      <alignment horizontal="center"/>
    </xf>
    <xf numFmtId="0" fontId="11" fillId="6" borderId="28" xfId="0" applyFont="1" applyFill="1" applyBorder="1" applyAlignment="1">
      <alignment horizontal="center"/>
    </xf>
    <xf numFmtId="0" fontId="38" fillId="6" borderId="28" xfId="0" applyFont="1" applyFill="1" applyBorder="1" applyAlignment="1">
      <alignment horizontal="center"/>
    </xf>
    <xf numFmtId="0" fontId="11" fillId="0" borderId="0" xfId="0" applyFont="1" applyAlignment="1">
      <alignment horizontal="right"/>
    </xf>
    <xf numFmtId="0" fontId="3" fillId="0" borderId="17" xfId="0" applyFont="1" applyBorder="1"/>
    <xf numFmtId="0" fontId="44" fillId="0" borderId="2" xfId="0" applyFont="1" applyBorder="1"/>
    <xf numFmtId="2" fontId="12" fillId="0" borderId="6" xfId="0" applyNumberFormat="1" applyFont="1" applyBorder="1" applyAlignment="1">
      <alignment horizontal="center"/>
    </xf>
    <xf numFmtId="2" fontId="12" fillId="6" borderId="6" xfId="0" applyNumberFormat="1" applyFont="1" applyFill="1" applyBorder="1" applyAlignment="1">
      <alignment horizontal="center"/>
    </xf>
    <xf numFmtId="2" fontId="45" fillId="0" borderId="6" xfId="0" applyNumberFormat="1" applyFont="1" applyBorder="1" applyAlignment="1">
      <alignment horizontal="center"/>
    </xf>
    <xf numFmtId="2" fontId="45" fillId="6" borderId="6" xfId="0" applyNumberFormat="1" applyFont="1" applyFill="1" applyBorder="1" applyAlignment="1">
      <alignment horizontal="center"/>
    </xf>
    <xf numFmtId="0" fontId="36" fillId="0" borderId="23" xfId="0" applyFont="1" applyBorder="1" applyAlignment="1">
      <alignment horizontal="left"/>
    </xf>
    <xf numFmtId="0" fontId="36" fillId="6" borderId="24" xfId="0" applyFont="1" applyFill="1" applyBorder="1" applyAlignment="1">
      <alignment horizontal="left"/>
    </xf>
    <xf numFmtId="0" fontId="36" fillId="0" borderId="24" xfId="0" applyFont="1" applyBorder="1" applyAlignment="1">
      <alignment horizontal="left"/>
    </xf>
    <xf numFmtId="0" fontId="36" fillId="0" borderId="25" xfId="0" applyFont="1" applyBorder="1" applyAlignment="1">
      <alignment horizontal="left"/>
    </xf>
    <xf numFmtId="165" fontId="11" fillId="0" borderId="31" xfId="0" applyNumberFormat="1" applyFont="1" applyBorder="1" applyAlignment="1">
      <alignment horizontal="right"/>
    </xf>
    <xf numFmtId="165" fontId="11" fillId="6" borderId="17" xfId="0" applyNumberFormat="1" applyFont="1" applyFill="1" applyBorder="1" applyAlignment="1">
      <alignment horizontal="right"/>
    </xf>
    <xf numFmtId="165" fontId="11" fillId="0" borderId="17" xfId="0" applyNumberFormat="1" applyFont="1" applyBorder="1" applyAlignment="1">
      <alignment horizontal="right"/>
    </xf>
    <xf numFmtId="165" fontId="11" fillId="0" borderId="32" xfId="0" applyNumberFormat="1" applyFont="1" applyBorder="1" applyAlignment="1">
      <alignment horizontal="right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/>
    </xf>
    <xf numFmtId="2" fontId="0" fillId="7" borderId="2" xfId="0" applyNumberFormat="1" applyFill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2" fontId="0" fillId="4" borderId="2" xfId="0" applyNumberFormat="1" applyFill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0" fontId="15" fillId="7" borderId="0" xfId="0" applyFont="1" applyFill="1"/>
    <xf numFmtId="0" fontId="18" fillId="7" borderId="0" xfId="0" applyFont="1" applyFill="1" applyAlignment="1">
      <alignment horizontal="left"/>
    </xf>
    <xf numFmtId="0" fontId="12" fillId="7" borderId="0" xfId="0" applyFont="1" applyFill="1"/>
    <xf numFmtId="0" fontId="0" fillId="7" borderId="0" xfId="0" applyFill="1"/>
    <xf numFmtId="0" fontId="14" fillId="7" borderId="0" xfId="0" applyFont="1" applyFill="1"/>
    <xf numFmtId="0" fontId="11" fillId="7" borderId="0" xfId="0" applyFont="1" applyFill="1"/>
    <xf numFmtId="0" fontId="16" fillId="7" borderId="0" xfId="0" applyFont="1" applyFill="1"/>
    <xf numFmtId="0" fontId="0" fillId="7" borderId="2" xfId="0" applyFont="1" applyFill="1" applyBorder="1"/>
    <xf numFmtId="0" fontId="2" fillId="7" borderId="0" xfId="0" applyFont="1" applyFill="1"/>
    <xf numFmtId="0" fontId="23" fillId="7" borderId="17" xfId="0" applyFont="1" applyFill="1" applyBorder="1"/>
    <xf numFmtId="0" fontId="23" fillId="7" borderId="4" xfId="0" applyFont="1" applyFill="1" applyBorder="1"/>
    <xf numFmtId="0" fontId="23" fillId="7" borderId="2" xfId="0" applyFont="1" applyFill="1" applyBorder="1"/>
    <xf numFmtId="164" fontId="23" fillId="7" borderId="2" xfId="0" applyNumberFormat="1" applyFont="1" applyFill="1" applyBorder="1"/>
    <xf numFmtId="0" fontId="0" fillId="7" borderId="2" xfId="0" applyFill="1" applyBorder="1"/>
    <xf numFmtId="0" fontId="0" fillId="7" borderId="0" xfId="0" applyFill="1" applyAlignment="1">
      <alignment horizontal="center"/>
    </xf>
    <xf numFmtId="0" fontId="29" fillId="7" borderId="2" xfId="0" applyFont="1" applyFill="1" applyBorder="1"/>
    <xf numFmtId="0" fontId="32" fillId="7" borderId="2" xfId="0" applyFont="1" applyFill="1" applyBorder="1"/>
    <xf numFmtId="0" fontId="23" fillId="7" borderId="12" xfId="0" applyFont="1" applyFill="1" applyBorder="1"/>
    <xf numFmtId="0" fontId="0" fillId="7" borderId="8" xfId="0" applyFill="1" applyBorder="1"/>
    <xf numFmtId="0" fontId="0" fillId="7" borderId="4" xfId="0" applyFill="1" applyBorder="1"/>
    <xf numFmtId="0" fontId="11" fillId="7" borderId="4" xfId="0" applyFont="1" applyFill="1" applyBorder="1"/>
    <xf numFmtId="0" fontId="2" fillId="7" borderId="5" xfId="0" applyFont="1" applyFill="1" applyBorder="1" applyAlignment="1">
      <alignment horizontal="center"/>
    </xf>
    <xf numFmtId="0" fontId="2" fillId="7" borderId="6" xfId="0" applyFont="1" applyFill="1" applyBorder="1" applyAlignment="1">
      <alignment horizontal="center"/>
    </xf>
    <xf numFmtId="0" fontId="5" fillId="7" borderId="2" xfId="0" applyFont="1" applyFill="1" applyBorder="1"/>
    <xf numFmtId="0" fontId="2" fillId="7" borderId="17" xfId="0" applyFont="1" applyFill="1" applyBorder="1"/>
    <xf numFmtId="0" fontId="23" fillId="7" borderId="6" xfId="0" applyFont="1" applyFill="1" applyBorder="1"/>
    <xf numFmtId="0" fontId="0" fillId="9" borderId="0" xfId="0" applyFill="1"/>
    <xf numFmtId="0" fontId="0" fillId="10" borderId="0" xfId="0" applyFill="1"/>
    <xf numFmtId="0" fontId="0" fillId="9" borderId="2" xfId="0" applyFill="1" applyBorder="1" applyAlignment="1">
      <alignment horizontal="center"/>
    </xf>
    <xf numFmtId="0" fontId="0" fillId="11" borderId="2" xfId="0" applyFill="1" applyBorder="1" applyAlignment="1">
      <alignment horizontal="center"/>
    </xf>
    <xf numFmtId="0" fontId="0" fillId="10" borderId="17" xfId="0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0" fillId="11" borderId="10" xfId="0" applyFill="1" applyBorder="1"/>
    <xf numFmtId="0" fontId="0" fillId="0" borderId="10" xfId="0" applyBorder="1"/>
    <xf numFmtId="0" fontId="12" fillId="3" borderId="0" xfId="0" applyFont="1" applyFill="1"/>
    <xf numFmtId="0" fontId="0" fillId="11" borderId="0" xfId="0" applyFill="1" applyBorder="1"/>
    <xf numFmtId="0" fontId="0" fillId="6" borderId="2" xfId="0" applyFill="1" applyBorder="1" applyAlignment="1">
      <alignment horizontal="left"/>
    </xf>
    <xf numFmtId="0" fontId="12" fillId="7" borderId="10" xfId="0" applyFont="1" applyFill="1" applyBorder="1"/>
    <xf numFmtId="0" fontId="12" fillId="7" borderId="0" xfId="0" applyFont="1" applyFill="1" applyBorder="1"/>
    <xf numFmtId="0" fontId="18" fillId="7" borderId="0" xfId="0" applyFont="1" applyFill="1" applyAlignment="1">
      <alignment horizontal="center"/>
    </xf>
    <xf numFmtId="0" fontId="0" fillId="7" borderId="10" xfId="0" applyFont="1" applyFill="1" applyBorder="1"/>
    <xf numFmtId="0" fontId="0" fillId="7" borderId="0" xfId="0" applyFont="1" applyFill="1" applyBorder="1"/>
    <xf numFmtId="0" fontId="19" fillId="7" borderId="0" xfId="0" applyFont="1" applyFill="1" applyAlignment="1">
      <alignment horizontal="left"/>
    </xf>
    <xf numFmtId="0" fontId="0" fillId="7" borderId="6" xfId="0" applyFont="1" applyFill="1" applyBorder="1" applyAlignment="1">
      <alignment horizontal="center"/>
    </xf>
    <xf numFmtId="0" fontId="0" fillId="7" borderId="10" xfId="0" applyFill="1" applyBorder="1"/>
    <xf numFmtId="0" fontId="20" fillId="7" borderId="10" xfId="0" applyFont="1" applyFill="1" applyBorder="1" applyAlignment="1">
      <alignment horizontal="right"/>
    </xf>
    <xf numFmtId="0" fontId="2" fillId="7" borderId="10" xfId="0" applyFont="1" applyFill="1" applyBorder="1"/>
    <xf numFmtId="2" fontId="18" fillId="7" borderId="0" xfId="0" applyNumberFormat="1" applyFont="1" applyFill="1" applyAlignment="1">
      <alignment horizontal="center"/>
    </xf>
    <xf numFmtId="0" fontId="10" fillId="7" borderId="0" xfId="0" applyFont="1" applyFill="1" applyAlignment="1">
      <alignment horizontal="center"/>
    </xf>
    <xf numFmtId="1" fontId="0" fillId="7" borderId="7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0" fontId="12" fillId="7" borderId="0" xfId="0" applyFont="1" applyFill="1" applyBorder="1" applyAlignment="1"/>
    <xf numFmtId="1" fontId="0" fillId="12" borderId="20" xfId="0" applyNumberFormat="1" applyFill="1" applyBorder="1" applyAlignment="1">
      <alignment horizontal="center"/>
    </xf>
    <xf numFmtId="2" fontId="0" fillId="12" borderId="2" xfId="0" applyNumberFormat="1" applyFill="1" applyBorder="1" applyAlignment="1">
      <alignment horizontal="center"/>
    </xf>
    <xf numFmtId="1" fontId="0" fillId="12" borderId="2" xfId="0" applyNumberFormat="1" applyFill="1" applyBorder="1" applyAlignment="1">
      <alignment horizontal="center"/>
    </xf>
    <xf numFmtId="164" fontId="0" fillId="12" borderId="2" xfId="0" applyNumberFormat="1" applyFill="1" applyBorder="1" applyAlignment="1">
      <alignment horizontal="center"/>
    </xf>
    <xf numFmtId="1" fontId="0" fillId="12" borderId="7" xfId="0" applyNumberFormat="1" applyFill="1" applyBorder="1" applyAlignment="1">
      <alignment horizontal="center"/>
    </xf>
    <xf numFmtId="0" fontId="12" fillId="7" borderId="10" xfId="0" applyFont="1" applyFill="1" applyBorder="1" applyAlignment="1"/>
    <xf numFmtId="0" fontId="0" fillId="7" borderId="13" xfId="0" applyFont="1" applyFill="1" applyBorder="1" applyAlignment="1"/>
    <xf numFmtId="1" fontId="0" fillId="12" borderId="13" xfId="0" applyNumberFormat="1" applyFill="1" applyBorder="1" applyAlignment="1"/>
    <xf numFmtId="1" fontId="0" fillId="12" borderId="3" xfId="0" applyNumberFormat="1" applyFill="1" applyBorder="1" applyAlignment="1"/>
    <xf numFmtId="1" fontId="0" fillId="7" borderId="3" xfId="0" applyNumberFormat="1" applyFill="1" applyBorder="1" applyAlignment="1"/>
    <xf numFmtId="1" fontId="0" fillId="4" borderId="3" xfId="0" applyNumberFormat="1" applyFill="1" applyBorder="1" applyAlignment="1"/>
    <xf numFmtId="0" fontId="0" fillId="0" borderId="0" xfId="0" applyAlignment="1"/>
    <xf numFmtId="49" fontId="0" fillId="6" borderId="2" xfId="0" applyNumberFormat="1" applyFill="1" applyBorder="1" applyAlignment="1">
      <alignment horizontal="center"/>
    </xf>
    <xf numFmtId="49" fontId="0" fillId="0" borderId="2" xfId="0" applyNumberFormat="1" applyBorder="1" applyAlignment="1">
      <alignment horizontal="center"/>
    </xf>
    <xf numFmtId="49" fontId="0" fillId="7" borderId="2" xfId="0" applyNumberFormat="1" applyFill="1" applyBorder="1" applyAlignment="1">
      <alignment horizontal="center"/>
    </xf>
    <xf numFmtId="49" fontId="0" fillId="11" borderId="2" xfId="0" applyNumberFormat="1" applyFill="1" applyBorder="1" applyAlignment="1">
      <alignment horizontal="center"/>
    </xf>
    <xf numFmtId="0" fontId="48" fillId="0" borderId="0" xfId="0" applyFont="1" applyBorder="1" applyAlignment="1">
      <alignment horizontal="center"/>
    </xf>
    <xf numFmtId="0" fontId="49" fillId="0" borderId="0" xfId="0" applyFont="1" applyAlignment="1">
      <alignment horizontal="center"/>
    </xf>
    <xf numFmtId="0" fontId="49" fillId="0" borderId="0" xfId="0" applyFont="1"/>
    <xf numFmtId="0" fontId="48" fillId="0" borderId="0" xfId="0" applyFont="1" applyAlignment="1">
      <alignment horizontal="center"/>
    </xf>
    <xf numFmtId="0" fontId="48" fillId="0" borderId="0" xfId="0" applyFont="1"/>
    <xf numFmtId="0" fontId="12" fillId="0" borderId="18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50" fillId="0" borderId="0" xfId="0" applyFont="1"/>
    <xf numFmtId="49" fontId="0" fillId="6" borderId="18" xfId="0" applyNumberFormat="1" applyFill="1" applyBorder="1" applyAlignment="1">
      <alignment horizontal="center"/>
    </xf>
    <xf numFmtId="0" fontId="0" fillId="6" borderId="0" xfId="0" applyFill="1" applyAlignment="1">
      <alignment horizontal="center"/>
    </xf>
    <xf numFmtId="49" fontId="0" fillId="6" borderId="0" xfId="0" applyNumberFormat="1" applyFill="1" applyAlignment="1">
      <alignment horizontal="center"/>
    </xf>
    <xf numFmtId="0" fontId="0" fillId="6" borderId="0" xfId="0" applyFill="1"/>
    <xf numFmtId="0" fontId="48" fillId="0" borderId="0" xfId="0" applyFont="1" applyFill="1" applyBorder="1" applyAlignment="1">
      <alignment horizontal="center"/>
    </xf>
    <xf numFmtId="0" fontId="0" fillId="13" borderId="0" xfId="0" applyFill="1" applyAlignment="1">
      <alignment horizontal="center"/>
    </xf>
    <xf numFmtId="0" fontId="50" fillId="0" borderId="0" xfId="0" applyFont="1" applyFill="1"/>
    <xf numFmtId="49" fontId="0" fillId="0" borderId="18" xfId="0" applyNumberFormat="1" applyFill="1" applyBorder="1" applyAlignment="1">
      <alignment horizontal="center"/>
    </xf>
    <xf numFmtId="0" fontId="0" fillId="0" borderId="0" xfId="0" applyFill="1" applyAlignment="1">
      <alignment horizontal="center"/>
    </xf>
    <xf numFmtId="49" fontId="0" fillId="0" borderId="0" xfId="0" applyNumberFormat="1" applyFill="1" applyAlignment="1">
      <alignment horizontal="center"/>
    </xf>
    <xf numFmtId="0" fontId="0" fillId="15" borderId="0" xfId="0" applyFill="1" applyAlignment="1">
      <alignment horizontal="center"/>
    </xf>
    <xf numFmtId="0" fontId="0" fillId="14" borderId="0" xfId="0" applyFill="1" applyAlignment="1">
      <alignment horizontal="center"/>
    </xf>
    <xf numFmtId="49" fontId="0" fillId="0" borderId="0" xfId="0" applyNumberFormat="1" applyFill="1" applyBorder="1" applyAlignment="1">
      <alignment horizontal="center"/>
    </xf>
    <xf numFmtId="0" fontId="0" fillId="0" borderId="2" xfId="0" applyBorder="1" applyAlignment="1">
      <alignment horizontal="left"/>
    </xf>
    <xf numFmtId="0" fontId="0" fillId="11" borderId="2" xfId="0" applyFill="1" applyBorder="1" applyAlignment="1">
      <alignment horizontal="left"/>
    </xf>
    <xf numFmtId="0" fontId="3" fillId="0" borderId="2" xfId="0" applyFont="1" applyBorder="1" applyAlignment="1">
      <alignment horizontal="center"/>
    </xf>
    <xf numFmtId="0" fontId="51" fillId="0" borderId="4" xfId="0" applyFont="1" applyBorder="1"/>
    <xf numFmtId="0" fontId="52" fillId="0" borderId="4" xfId="0" applyFont="1" applyFill="1" applyBorder="1"/>
    <xf numFmtId="0" fontId="52" fillId="0" borderId="4" xfId="0" applyFont="1" applyBorder="1"/>
    <xf numFmtId="0" fontId="51" fillId="0" borderId="7" xfId="0" applyFont="1" applyBorder="1"/>
    <xf numFmtId="0" fontId="51" fillId="0" borderId="4" xfId="0" applyFont="1" applyBorder="1" applyAlignment="1">
      <alignment horizontal="right"/>
    </xf>
    <xf numFmtId="166" fontId="0" fillId="7" borderId="2" xfId="0" applyNumberFormat="1" applyFill="1" applyBorder="1" applyAlignment="1">
      <alignment horizontal="center"/>
    </xf>
    <xf numFmtId="166" fontId="0" fillId="4" borderId="2" xfId="0" applyNumberFormat="1" applyFill="1" applyBorder="1" applyAlignment="1">
      <alignment horizontal="center"/>
    </xf>
    <xf numFmtId="166" fontId="0" fillId="0" borderId="2" xfId="0" applyNumberFormat="1" applyBorder="1" applyAlignment="1">
      <alignment horizontal="center"/>
    </xf>
    <xf numFmtId="0" fontId="11" fillId="7" borderId="2" xfId="0" applyFont="1" applyFill="1" applyBorder="1" applyAlignment="1">
      <alignment horizontal="center"/>
    </xf>
    <xf numFmtId="0" fontId="36" fillId="7" borderId="2" xfId="0" applyFont="1" applyFill="1" applyBorder="1" applyAlignment="1">
      <alignment horizontal="center"/>
    </xf>
    <xf numFmtId="0" fontId="11" fillId="7" borderId="3" xfId="0" applyFont="1" applyFill="1" applyBorder="1" applyAlignment="1">
      <alignment horizontal="center"/>
    </xf>
    <xf numFmtId="0" fontId="11" fillId="4" borderId="3" xfId="0" applyFont="1" applyFill="1" applyBorder="1" applyAlignment="1">
      <alignment horizontal="center"/>
    </xf>
    <xf numFmtId="0" fontId="11" fillId="4" borderId="2" xfId="0" applyFont="1" applyFill="1" applyBorder="1" applyAlignment="1">
      <alignment horizontal="center"/>
    </xf>
    <xf numFmtId="0" fontId="0" fillId="7" borderId="12" xfId="0" applyFont="1" applyFill="1" applyBorder="1" applyAlignment="1">
      <alignment horizontal="center"/>
    </xf>
    <xf numFmtId="1" fontId="0" fillId="12" borderId="17" xfId="0" applyNumberFormat="1" applyFill="1" applyBorder="1" applyAlignment="1">
      <alignment horizontal="center"/>
    </xf>
    <xf numFmtId="1" fontId="0" fillId="0" borderId="17" xfId="0" applyNumberFormat="1" applyBorder="1" applyAlignment="1">
      <alignment horizontal="center"/>
    </xf>
    <xf numFmtId="1" fontId="0" fillId="4" borderId="17" xfId="0" applyNumberFormat="1" applyFill="1" applyBorder="1" applyAlignment="1">
      <alignment horizontal="center"/>
    </xf>
    <xf numFmtId="0" fontId="28" fillId="5" borderId="10" xfId="0" applyFont="1" applyFill="1" applyBorder="1" applyAlignment="1">
      <alignment horizontal="center" vertical="center"/>
    </xf>
    <xf numFmtId="0" fontId="18" fillId="7" borderId="10" xfId="0" applyFont="1" applyFill="1" applyBorder="1" applyAlignment="1">
      <alignment horizontal="center"/>
    </xf>
    <xf numFmtId="0" fontId="0" fillId="7" borderId="15" xfId="0" applyFill="1" applyBorder="1"/>
    <xf numFmtId="2" fontId="0" fillId="12" borderId="3" xfId="0" applyNumberFormat="1" applyFill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2" fontId="0" fillId="4" borderId="3" xfId="0" applyNumberFormat="1" applyFill="1" applyBorder="1" applyAlignment="1">
      <alignment horizontal="center"/>
    </xf>
    <xf numFmtId="0" fontId="12" fillId="7" borderId="5" xfId="0" applyFont="1" applyFill="1" applyBorder="1" applyAlignment="1">
      <alignment vertical="top" wrapText="1"/>
    </xf>
    <xf numFmtId="0" fontId="0" fillId="7" borderId="13" xfId="0" applyFill="1" applyBorder="1"/>
    <xf numFmtId="0" fontId="12" fillId="7" borderId="5" xfId="0" applyFont="1" applyFill="1" applyBorder="1" applyAlignment="1">
      <alignment horizontal="center" vertical="top"/>
    </xf>
    <xf numFmtId="0" fontId="12" fillId="7" borderId="11" xfId="0" applyFont="1" applyFill="1" applyBorder="1" applyAlignment="1">
      <alignment horizontal="center" vertical="top"/>
    </xf>
    <xf numFmtId="0" fontId="12" fillId="7" borderId="14" xfId="0" applyFont="1" applyFill="1" applyBorder="1" applyAlignment="1">
      <alignment horizontal="center"/>
    </xf>
    <xf numFmtId="0" fontId="12" fillId="7" borderId="9" xfId="0" applyFont="1" applyFill="1" applyBorder="1" applyAlignment="1">
      <alignment horizontal="center" vertical="top"/>
    </xf>
    <xf numFmtId="0" fontId="12" fillId="7" borderId="18" xfId="0" applyFont="1" applyFill="1" applyBorder="1" applyAlignment="1">
      <alignment horizontal="center" vertical="top"/>
    </xf>
    <xf numFmtId="0" fontId="12" fillId="7" borderId="15" xfId="0" applyFont="1" applyFill="1" applyBorder="1" applyAlignment="1">
      <alignment horizontal="center"/>
    </xf>
    <xf numFmtId="0" fontId="12" fillId="7" borderId="5" xfId="0" applyFont="1" applyFill="1" applyBorder="1"/>
    <xf numFmtId="0" fontId="12" fillId="7" borderId="9" xfId="0" applyFont="1" applyFill="1" applyBorder="1"/>
    <xf numFmtId="0" fontId="12" fillId="7" borderId="9" xfId="0" applyFont="1" applyFill="1" applyBorder="1" applyAlignment="1">
      <alignment horizontal="center"/>
    </xf>
    <xf numFmtId="0" fontId="12" fillId="7" borderId="19" xfId="0" applyFont="1" applyFill="1" applyBorder="1" applyAlignment="1">
      <alignment horizontal="center"/>
    </xf>
    <xf numFmtId="0" fontId="12" fillId="7" borderId="5" xfId="0" applyFont="1" applyFill="1" applyBorder="1" applyAlignment="1">
      <alignment horizontal="center"/>
    </xf>
    <xf numFmtId="0" fontId="12" fillId="7" borderId="11" xfId="0" applyFont="1" applyFill="1" applyBorder="1"/>
    <xf numFmtId="0" fontId="12" fillId="7" borderId="18" xfId="0" applyFont="1" applyFill="1" applyBorder="1"/>
    <xf numFmtId="0" fontId="12" fillId="7" borderId="11" xfId="0" applyFont="1" applyFill="1" applyBorder="1" applyAlignment="1">
      <alignment horizontal="center"/>
    </xf>
    <xf numFmtId="0" fontId="12" fillId="7" borderId="18" xfId="0" applyFont="1" applyFill="1" applyBorder="1" applyAlignment="1">
      <alignment horizontal="center"/>
    </xf>
    <xf numFmtId="2" fontId="0" fillId="12" borderId="17" xfId="0" applyNumberFormat="1" applyFill="1" applyBorder="1" applyAlignment="1">
      <alignment horizontal="center"/>
    </xf>
    <xf numFmtId="2" fontId="0" fillId="0" borderId="17" xfId="0" applyNumberFormat="1" applyBorder="1" applyAlignment="1">
      <alignment horizontal="center"/>
    </xf>
    <xf numFmtId="2" fontId="0" fillId="4" borderId="17" xfId="0" applyNumberFormat="1" applyFill="1" applyBorder="1" applyAlignment="1">
      <alignment horizontal="center"/>
    </xf>
    <xf numFmtId="0" fontId="0" fillId="7" borderId="13" xfId="0" applyFont="1" applyFill="1" applyBorder="1" applyAlignment="1">
      <alignment horizontal="center"/>
    </xf>
    <xf numFmtId="164" fontId="0" fillId="12" borderId="3" xfId="0" applyNumberFormat="1" applyFill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0" fontId="11" fillId="7" borderId="33" xfId="0" applyFont="1" applyFill="1" applyBorder="1" applyAlignment="1"/>
    <xf numFmtId="167" fontId="0" fillId="0" borderId="0" xfId="0" applyNumberFormat="1"/>
    <xf numFmtId="0" fontId="0" fillId="0" borderId="0" xfId="0" applyNumberFormat="1"/>
    <xf numFmtId="0" fontId="19" fillId="0" borderId="0" xfId="0" applyFont="1" applyFill="1" applyAlignment="1">
      <alignment horizontal="left"/>
    </xf>
    <xf numFmtId="0" fontId="18" fillId="0" borderId="0" xfId="0" applyFont="1" applyFill="1" applyAlignment="1">
      <alignment horizontal="center"/>
    </xf>
    <xf numFmtId="167" fontId="0" fillId="0" borderId="0" xfId="0" applyNumberFormat="1" applyFill="1"/>
    <xf numFmtId="0" fontId="0" fillId="0" borderId="0" xfId="0" applyNumberFormat="1" applyFill="1"/>
    <xf numFmtId="0" fontId="0" fillId="7" borderId="13" xfId="0" applyFill="1" applyBorder="1" applyAlignment="1">
      <alignment horizontal="center"/>
    </xf>
    <xf numFmtId="0" fontId="12" fillId="7" borderId="16" xfId="0" applyFont="1" applyFill="1" applyBorder="1" applyAlignment="1">
      <alignment horizontal="center"/>
    </xf>
    <xf numFmtId="0" fontId="0" fillId="7" borderId="20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12" fillId="7" borderId="13" xfId="0" applyFont="1" applyFill="1" applyBorder="1" applyAlignment="1">
      <alignment horizontal="center"/>
    </xf>
    <xf numFmtId="9" fontId="0" fillId="12" borderId="3" xfId="1" applyFont="1" applyFill="1" applyBorder="1" applyAlignment="1">
      <alignment horizontal="center"/>
    </xf>
    <xf numFmtId="9" fontId="0" fillId="0" borderId="3" xfId="1" applyFont="1" applyBorder="1" applyAlignment="1">
      <alignment horizontal="center"/>
    </xf>
    <xf numFmtId="9" fontId="0" fillId="4" borderId="3" xfId="1" applyFont="1" applyFill="1" applyBorder="1" applyAlignment="1">
      <alignment horizontal="center"/>
    </xf>
    <xf numFmtId="0" fontId="0" fillId="7" borderId="0" xfId="0" applyFont="1" applyFill="1"/>
    <xf numFmtId="0" fontId="12" fillId="9" borderId="10" xfId="0" applyFont="1" applyFill="1" applyBorder="1"/>
    <xf numFmtId="0" fontId="18" fillId="9" borderId="0" xfId="0" applyFont="1" applyFill="1" applyAlignment="1">
      <alignment horizontal="center"/>
    </xf>
    <xf numFmtId="0" fontId="12" fillId="10" borderId="10" xfId="0" applyFont="1" applyFill="1" applyBorder="1" applyAlignment="1"/>
    <xf numFmtId="0" fontId="18" fillId="10" borderId="0" xfId="0" applyFont="1" applyFill="1" applyAlignment="1">
      <alignment horizontal="center"/>
    </xf>
    <xf numFmtId="0" fontId="58" fillId="7" borderId="17" xfId="0" applyFont="1" applyFill="1" applyBorder="1"/>
    <xf numFmtId="0" fontId="20" fillId="0" borderId="0" xfId="0" applyFont="1"/>
    <xf numFmtId="0" fontId="14" fillId="0" borderId="0" xfId="0" applyFont="1"/>
    <xf numFmtId="0" fontId="12" fillId="3" borderId="2" xfId="0" applyFont="1" applyFill="1" applyBorder="1" applyAlignment="1">
      <alignment horizontal="center"/>
    </xf>
    <xf numFmtId="0" fontId="20" fillId="7" borderId="0" xfId="0" applyFont="1" applyFill="1"/>
    <xf numFmtId="0" fontId="21" fillId="0" borderId="2" xfId="0" applyFont="1" applyFill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0" fillId="0" borderId="2" xfId="0" applyFont="1" applyBorder="1" applyAlignment="1">
      <alignment horizontal="center"/>
    </xf>
    <xf numFmtId="0" fontId="21" fillId="0" borderId="17" xfId="0" applyFont="1" applyBorder="1" applyAlignment="1">
      <alignment horizontal="center"/>
    </xf>
    <xf numFmtId="0" fontId="58" fillId="0" borderId="10" xfId="0" applyFont="1" applyBorder="1" applyAlignment="1">
      <alignment horizontal="right"/>
    </xf>
    <xf numFmtId="0" fontId="58" fillId="0" borderId="0" xfId="0" applyFont="1"/>
    <xf numFmtId="0" fontId="58" fillId="0" borderId="10" xfId="0" applyFont="1" applyBorder="1"/>
    <xf numFmtId="0" fontId="2" fillId="0" borderId="0" xfId="0" applyFont="1"/>
    <xf numFmtId="0" fontId="65" fillId="7" borderId="0" xfId="0" applyFont="1" applyFill="1"/>
    <xf numFmtId="0" fontId="66" fillId="7" borderId="0" xfId="0" applyFont="1" applyFill="1" applyAlignment="1">
      <alignment horizontal="center"/>
    </xf>
    <xf numFmtId="0" fontId="20" fillId="7" borderId="2" xfId="0" applyFont="1" applyFill="1" applyBorder="1"/>
    <xf numFmtId="0" fontId="59" fillId="6" borderId="2" xfId="0" applyFont="1" applyFill="1" applyBorder="1" applyAlignment="1">
      <alignment horizontal="center"/>
    </xf>
    <xf numFmtId="0" fontId="14" fillId="7" borderId="4" xfId="0" applyFont="1" applyFill="1" applyBorder="1"/>
    <xf numFmtId="0" fontId="60" fillId="0" borderId="2" xfId="0" applyFont="1" applyBorder="1"/>
    <xf numFmtId="0" fontId="58" fillId="7" borderId="4" xfId="0" applyFont="1" applyFill="1" applyBorder="1"/>
    <xf numFmtId="0" fontId="14" fillId="6" borderId="7" xfId="0" applyFont="1" applyFill="1" applyBorder="1" applyAlignment="1">
      <alignment horizontal="center"/>
    </xf>
    <xf numFmtId="0" fontId="12" fillId="7" borderId="12" xfId="0" applyFont="1" applyFill="1" applyBorder="1" applyAlignment="1">
      <alignment horizontal="center"/>
    </xf>
    <xf numFmtId="9" fontId="0" fillId="12" borderId="17" xfId="1" applyFont="1" applyFill="1" applyBorder="1" applyAlignment="1">
      <alignment horizontal="center"/>
    </xf>
    <xf numFmtId="9" fontId="0" fillId="0" borderId="17" xfId="1" applyFont="1" applyBorder="1" applyAlignment="1">
      <alignment horizontal="center"/>
    </xf>
    <xf numFmtId="9" fontId="0" fillId="4" borderId="17" xfId="1" applyFont="1" applyFill="1" applyBorder="1" applyAlignment="1">
      <alignment horizontal="center"/>
    </xf>
    <xf numFmtId="0" fontId="19" fillId="7" borderId="10" xfId="0" applyFont="1" applyFill="1" applyBorder="1" applyAlignment="1">
      <alignment horizontal="left"/>
    </xf>
    <xf numFmtId="0" fontId="12" fillId="7" borderId="14" xfId="0" applyFont="1" applyFill="1" applyBorder="1" applyAlignment="1"/>
    <xf numFmtId="2" fontId="0" fillId="12" borderId="3" xfId="0" applyNumberFormat="1" applyFill="1" applyBorder="1" applyAlignment="1">
      <alignment horizontal="left"/>
    </xf>
    <xf numFmtId="2" fontId="0" fillId="0" borderId="3" xfId="0" applyNumberFormat="1" applyBorder="1" applyAlignment="1">
      <alignment horizontal="left"/>
    </xf>
    <xf numFmtId="2" fontId="0" fillId="4" borderId="3" xfId="0" applyNumberFormat="1" applyFill="1" applyBorder="1" applyAlignment="1">
      <alignment horizontal="left"/>
    </xf>
    <xf numFmtId="0" fontId="72" fillId="0" borderId="0" xfId="0" applyFont="1" applyAlignment="1">
      <alignment horizontal="right"/>
    </xf>
    <xf numFmtId="0" fontId="72" fillId="0" borderId="0" xfId="0" applyFont="1"/>
    <xf numFmtId="0" fontId="74" fillId="7" borderId="0" xfId="0" applyFont="1" applyFill="1"/>
    <xf numFmtId="0" fontId="2" fillId="0" borderId="0" xfId="0" applyFont="1" applyAlignment="1">
      <alignment horizontal="right"/>
    </xf>
    <xf numFmtId="0" fontId="49" fillId="16" borderId="0" xfId="0" applyFont="1" applyFill="1" applyAlignment="1">
      <alignment horizontal="center"/>
    </xf>
    <xf numFmtId="0" fontId="64" fillId="16" borderId="0" xfId="0" applyFont="1" applyFill="1" applyBorder="1" applyAlignment="1">
      <alignment horizontal="left"/>
    </xf>
    <xf numFmtId="0" fontId="64" fillId="16" borderId="0" xfId="0" applyFont="1" applyFill="1" applyAlignment="1">
      <alignment horizontal="center"/>
    </xf>
    <xf numFmtId="0" fontId="64" fillId="0" borderId="1" xfId="0" applyFont="1" applyBorder="1" applyAlignment="1">
      <alignment horizontal="left"/>
    </xf>
    <xf numFmtId="164" fontId="3" fillId="0" borderId="0" xfId="0" applyNumberFormat="1" applyFont="1" applyAlignment="1">
      <alignment horizontal="left"/>
    </xf>
    <xf numFmtId="0" fontId="64" fillId="0" borderId="0" xfId="0" applyFont="1" applyBorder="1" applyAlignment="1">
      <alignment horizontal="left"/>
    </xf>
    <xf numFmtId="0" fontId="51" fillId="0" borderId="4" xfId="0" applyFont="1" applyFill="1" applyBorder="1" applyAlignment="1"/>
    <xf numFmtId="0" fontId="51" fillId="0" borderId="8" xfId="0" applyFont="1" applyBorder="1"/>
    <xf numFmtId="0" fontId="52" fillId="0" borderId="8" xfId="0" applyFont="1" applyFill="1" applyBorder="1"/>
    <xf numFmtId="0" fontId="52" fillId="0" borderId="8" xfId="0" applyFont="1" applyBorder="1"/>
    <xf numFmtId="0" fontId="51" fillId="0" borderId="20" xfId="0" applyFont="1" applyBorder="1"/>
    <xf numFmtId="0" fontId="15" fillId="0" borderId="21" xfId="0" applyFont="1" applyFill="1" applyBorder="1"/>
    <xf numFmtId="0" fontId="51" fillId="0" borderId="22" xfId="0" applyFont="1" applyBorder="1"/>
    <xf numFmtId="0" fontId="51" fillId="0" borderId="22" xfId="0" applyFont="1" applyFill="1" applyBorder="1"/>
    <xf numFmtId="0" fontId="0" fillId="0" borderId="22" xfId="0" applyFill="1" applyBorder="1"/>
    <xf numFmtId="0" fontId="0" fillId="0" borderId="36" xfId="0" applyFill="1" applyBorder="1"/>
    <xf numFmtId="0" fontId="51" fillId="0" borderId="34" xfId="0" applyFont="1" applyBorder="1"/>
    <xf numFmtId="0" fontId="0" fillId="0" borderId="24" xfId="0" applyBorder="1"/>
    <xf numFmtId="0" fontId="51" fillId="0" borderId="33" xfId="0" applyFont="1" applyBorder="1"/>
    <xf numFmtId="0" fontId="51" fillId="0" borderId="37" xfId="0" applyFont="1" applyBorder="1"/>
    <xf numFmtId="0" fontId="51" fillId="0" borderId="29" xfId="0" applyFont="1" applyBorder="1" applyAlignment="1">
      <alignment horizontal="right"/>
    </xf>
    <xf numFmtId="0" fontId="55" fillId="0" borderId="29" xfId="0" applyFont="1" applyFill="1" applyBorder="1"/>
    <xf numFmtId="0" fontId="52" fillId="0" borderId="29" xfId="0" applyFont="1" applyBorder="1"/>
    <xf numFmtId="0" fontId="51" fillId="0" borderId="29" xfId="0" applyFont="1" applyBorder="1"/>
    <xf numFmtId="0" fontId="51" fillId="0" borderId="30" xfId="0" applyFont="1" applyBorder="1"/>
    <xf numFmtId="2" fontId="12" fillId="0" borderId="41" xfId="0" applyNumberFormat="1" applyFont="1" applyBorder="1" applyAlignment="1">
      <alignment horizontal="center"/>
    </xf>
    <xf numFmtId="0" fontId="11" fillId="6" borderId="42" xfId="0" applyFont="1" applyFill="1" applyBorder="1" applyAlignment="1">
      <alignment horizontal="center"/>
    </xf>
    <xf numFmtId="0" fontId="3" fillId="0" borderId="6" xfId="0" applyFont="1" applyBorder="1"/>
    <xf numFmtId="0" fontId="0" fillId="7" borderId="18" xfId="0" applyFill="1" applyBorder="1"/>
    <xf numFmtId="0" fontId="0" fillId="7" borderId="35" xfId="0" applyFill="1" applyBorder="1"/>
    <xf numFmtId="0" fontId="0" fillId="7" borderId="0" xfId="0" applyFill="1" applyBorder="1"/>
    <xf numFmtId="0" fontId="0" fillId="7" borderId="38" xfId="0" applyFill="1" applyBorder="1"/>
    <xf numFmtId="0" fontId="0" fillId="7" borderId="39" xfId="0" applyFill="1" applyBorder="1"/>
    <xf numFmtId="0" fontId="0" fillId="7" borderId="40" xfId="0" applyFill="1" applyBorder="1"/>
    <xf numFmtId="0" fontId="35" fillId="7" borderId="5" xfId="0" applyFont="1" applyFill="1" applyBorder="1" applyAlignment="1">
      <alignment horizontal="center" wrapText="1"/>
    </xf>
    <xf numFmtId="0" fontId="35" fillId="7" borderId="5" xfId="0" applyFont="1" applyFill="1" applyBorder="1" applyAlignment="1">
      <alignment horizontal="center" vertical="top"/>
    </xf>
    <xf numFmtId="0" fontId="35" fillId="7" borderId="9" xfId="0" applyFont="1" applyFill="1" applyBorder="1" applyAlignment="1">
      <alignment horizontal="center" vertical="top"/>
    </xf>
    <xf numFmtId="0" fontId="39" fillId="7" borderId="6" xfId="0" applyFont="1" applyFill="1" applyBorder="1" applyAlignment="1">
      <alignment horizontal="center"/>
    </xf>
    <xf numFmtId="0" fontId="0" fillId="6" borderId="2" xfId="0" applyFont="1" applyFill="1" applyBorder="1" applyAlignment="1">
      <alignment horizontal="center"/>
    </xf>
    <xf numFmtId="0" fontId="0" fillId="6" borderId="4" xfId="0" applyFont="1" applyFill="1" applyBorder="1" applyAlignment="1">
      <alignment horizontal="center"/>
    </xf>
    <xf numFmtId="0" fontId="0" fillId="6" borderId="8" xfId="0" applyFont="1" applyFill="1" applyBorder="1" applyAlignment="1">
      <alignment horizontal="center"/>
    </xf>
    <xf numFmtId="0" fontId="0" fillId="6" borderId="7" xfId="0" applyFont="1" applyFill="1" applyBorder="1" applyAlignment="1">
      <alignment horizontal="center"/>
    </xf>
    <xf numFmtId="0" fontId="26" fillId="0" borderId="5" xfId="0" applyFont="1" applyBorder="1" applyAlignment="1">
      <alignment horizontal="center"/>
    </xf>
    <xf numFmtId="0" fontId="22" fillId="0" borderId="5" xfId="0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2" fontId="0" fillId="12" borderId="2" xfId="0" applyNumberFormat="1" applyFill="1" applyBorder="1" applyAlignment="1">
      <alignment horizontal="right"/>
    </xf>
    <xf numFmtId="2" fontId="0" fillId="0" borderId="2" xfId="0" applyNumberFormat="1" applyBorder="1" applyAlignment="1">
      <alignment horizontal="right"/>
    </xf>
    <xf numFmtId="2" fontId="0" fillId="4" borderId="2" xfId="0" applyNumberFormat="1" applyFill="1" applyBorder="1" applyAlignment="1">
      <alignment horizontal="right"/>
    </xf>
    <xf numFmtId="164" fontId="0" fillId="12" borderId="2" xfId="0" applyNumberFormat="1" applyFill="1" applyBorder="1" applyAlignment="1">
      <alignment horizontal="right"/>
    </xf>
    <xf numFmtId="164" fontId="0" fillId="0" borderId="2" xfId="0" applyNumberFormat="1" applyBorder="1" applyAlignment="1">
      <alignment horizontal="right"/>
    </xf>
    <xf numFmtId="164" fontId="0" fillId="4" borderId="2" xfId="0" applyNumberFormat="1" applyFill="1" applyBorder="1" applyAlignment="1">
      <alignment horizontal="right"/>
    </xf>
    <xf numFmtId="0" fontId="15" fillId="7" borderId="5" xfId="0" applyFont="1" applyFill="1" applyBorder="1" applyAlignment="1">
      <alignment horizontal="center" vertical="top"/>
    </xf>
    <xf numFmtId="0" fontId="15" fillId="7" borderId="9" xfId="0" applyFont="1" applyFill="1" applyBorder="1" applyAlignment="1">
      <alignment horizontal="center" vertical="top"/>
    </xf>
    <xf numFmtId="2" fontId="15" fillId="12" borderId="2" xfId="0" applyNumberFormat="1" applyFont="1" applyFill="1" applyBorder="1" applyAlignment="1">
      <alignment horizontal="right"/>
    </xf>
    <xf numFmtId="2" fontId="15" fillId="0" borderId="2" xfId="0" applyNumberFormat="1" applyFont="1" applyBorder="1" applyAlignment="1">
      <alignment horizontal="right"/>
    </xf>
    <xf numFmtId="2" fontId="15" fillId="4" borderId="2" xfId="0" applyNumberFormat="1" applyFont="1" applyFill="1" applyBorder="1" applyAlignment="1">
      <alignment horizontal="right"/>
    </xf>
    <xf numFmtId="1" fontId="15" fillId="12" borderId="2" xfId="0" applyNumberFormat="1" applyFont="1" applyFill="1" applyBorder="1" applyAlignment="1">
      <alignment horizontal="center"/>
    </xf>
    <xf numFmtId="1" fontId="15" fillId="0" borderId="2" xfId="0" applyNumberFormat="1" applyFont="1" applyBorder="1" applyAlignment="1">
      <alignment horizontal="center"/>
    </xf>
    <xf numFmtId="1" fontId="15" fillId="4" borderId="2" xfId="0" applyNumberFormat="1" applyFont="1" applyFill="1" applyBorder="1" applyAlignment="1">
      <alignment horizontal="center"/>
    </xf>
    <xf numFmtId="0" fontId="81" fillId="0" borderId="0" xfId="0" applyFont="1" applyFill="1" applyBorder="1"/>
    <xf numFmtId="0" fontId="51" fillId="0" borderId="0" xfId="0" applyFont="1" applyFill="1" applyBorder="1"/>
    <xf numFmtId="0" fontId="51" fillId="0" borderId="0" xfId="0" applyFont="1"/>
    <xf numFmtId="0" fontId="51" fillId="0" borderId="0" xfId="0" applyFont="1" applyBorder="1"/>
    <xf numFmtId="0" fontId="15" fillId="0" borderId="0" xfId="0" applyFont="1" applyFill="1" applyBorder="1"/>
    <xf numFmtId="1" fontId="0" fillId="12" borderId="20" xfId="0" applyNumberFormat="1" applyFill="1" applyBorder="1" applyAlignment="1">
      <alignment horizontal="right"/>
    </xf>
    <xf numFmtId="1" fontId="0" fillId="12" borderId="7" xfId="0" applyNumberFormat="1" applyFill="1" applyBorder="1" applyAlignment="1">
      <alignment horizontal="right"/>
    </xf>
    <xf numFmtId="1" fontId="0" fillId="7" borderId="7" xfId="0" applyNumberFormat="1" applyFill="1" applyBorder="1" applyAlignment="1">
      <alignment horizontal="right"/>
    </xf>
    <xf numFmtId="2" fontId="0" fillId="7" borderId="2" xfId="0" applyNumberFormat="1" applyFill="1" applyBorder="1" applyAlignment="1">
      <alignment horizontal="right"/>
    </xf>
    <xf numFmtId="1" fontId="0" fillId="4" borderId="7" xfId="0" applyNumberFormat="1" applyFill="1" applyBorder="1" applyAlignment="1">
      <alignment horizontal="right"/>
    </xf>
    <xf numFmtId="0" fontId="14" fillId="0" borderId="0" xfId="0" applyFont="1" applyFill="1" applyBorder="1"/>
    <xf numFmtId="0" fontId="14" fillId="0" borderId="7" xfId="0" applyFont="1" applyBorder="1"/>
    <xf numFmtId="0" fontId="86" fillId="0" borderId="0" xfId="0" applyFont="1" applyFill="1" applyBorder="1" applyAlignment="1">
      <alignment horizontal="center"/>
    </xf>
    <xf numFmtId="0" fontId="26" fillId="0" borderId="16" xfId="0" applyFont="1" applyFill="1" applyBorder="1" applyAlignment="1">
      <alignment horizontal="center"/>
    </xf>
    <xf numFmtId="0" fontId="26" fillId="0" borderId="20" xfId="0" applyFont="1" applyFill="1" applyBorder="1" applyAlignment="1">
      <alignment horizontal="center"/>
    </xf>
    <xf numFmtId="0" fontId="14" fillId="0" borderId="4" xfId="0" applyFont="1" applyBorder="1"/>
    <xf numFmtId="0" fontId="12" fillId="0" borderId="7" xfId="0" applyFont="1" applyBorder="1"/>
    <xf numFmtId="0" fontId="51" fillId="0" borderId="7" xfId="0" applyFont="1" applyFill="1" applyBorder="1"/>
    <xf numFmtId="0" fontId="26" fillId="0" borderId="11" xfId="0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0" fillId="0" borderId="10" xfId="0" applyFill="1" applyBorder="1"/>
    <xf numFmtId="0" fontId="39" fillId="0" borderId="10" xfId="0" applyFont="1" applyBorder="1"/>
    <xf numFmtId="0" fontId="12" fillId="0" borderId="11" xfId="0" applyFont="1" applyBorder="1"/>
    <xf numFmtId="0" fontId="0" fillId="7" borderId="11" xfId="0" applyFill="1" applyBorder="1"/>
    <xf numFmtId="0" fontId="0" fillId="7" borderId="1" xfId="0" applyFill="1" applyBorder="1"/>
    <xf numFmtId="0" fontId="0" fillId="7" borderId="12" xfId="0" applyFill="1" applyBorder="1"/>
    <xf numFmtId="0" fontId="14" fillId="0" borderId="12" xfId="0" applyFont="1" applyBorder="1"/>
    <xf numFmtId="14" fontId="14" fillId="0" borderId="12" xfId="0" applyNumberFormat="1" applyFont="1" applyBorder="1" applyAlignment="1"/>
    <xf numFmtId="0" fontId="0" fillId="0" borderId="12" xfId="0" applyFont="1" applyBorder="1"/>
    <xf numFmtId="0" fontId="0" fillId="0" borderId="0" xfId="0" applyFont="1" applyBorder="1"/>
    <xf numFmtId="0" fontId="87" fillId="0" borderId="11" xfId="0" applyFont="1" applyBorder="1"/>
    <xf numFmtId="0" fontId="87" fillId="0" borderId="11" xfId="0" applyFont="1" applyBorder="1" applyAlignment="1"/>
    <xf numFmtId="0" fontId="51" fillId="0" borderId="17" xfId="0" applyFont="1" applyFill="1" applyBorder="1"/>
    <xf numFmtId="0" fontId="51" fillId="0" borderId="4" xfId="0" applyFont="1" applyFill="1" applyBorder="1"/>
    <xf numFmtId="0" fontId="15" fillId="0" borderId="4" xfId="0" applyFont="1" applyFill="1" applyBorder="1" applyAlignment="1"/>
    <xf numFmtId="0" fontId="83" fillId="0" borderId="4" xfId="0" applyFont="1" applyFill="1" applyBorder="1"/>
    <xf numFmtId="0" fontId="86" fillId="0" borderId="4" xfId="0" applyFont="1" applyFill="1" applyBorder="1" applyAlignment="1">
      <alignment horizontal="left"/>
    </xf>
    <xf numFmtId="0" fontId="59" fillId="0" borderId="2" xfId="0" applyFont="1" applyFill="1" applyBorder="1"/>
    <xf numFmtId="0" fontId="72" fillId="0" borderId="2" xfId="0" applyFont="1" applyFill="1" applyBorder="1"/>
    <xf numFmtId="0" fontId="72" fillId="0" borderId="17" xfId="0" applyFont="1" applyFill="1" applyBorder="1"/>
    <xf numFmtId="0" fontId="59" fillId="0" borderId="4" xfId="0" applyFont="1" applyFill="1" applyBorder="1"/>
    <xf numFmtId="0" fontId="59" fillId="0" borderId="7" xfId="0" applyFont="1" applyBorder="1"/>
    <xf numFmtId="0" fontId="90" fillId="0" borderId="2" xfId="0" applyFont="1" applyFill="1" applyBorder="1"/>
    <xf numFmtId="164" fontId="72" fillId="0" borderId="2" xfId="0" applyNumberFormat="1" applyFont="1" applyFill="1" applyBorder="1"/>
    <xf numFmtId="0" fontId="72" fillId="0" borderId="4" xfId="0" applyFont="1" applyFill="1" applyBorder="1"/>
    <xf numFmtId="0" fontId="72" fillId="6" borderId="2" xfId="0" applyFont="1" applyFill="1" applyBorder="1"/>
    <xf numFmtId="0" fontId="41" fillId="0" borderId="10" xfId="0" applyFont="1" applyFill="1" applyBorder="1"/>
    <xf numFmtId="0" fontId="41" fillId="0" borderId="0" xfId="0" applyFont="1" applyFill="1" applyBorder="1"/>
    <xf numFmtId="0" fontId="39" fillId="0" borderId="0" xfId="0" applyFont="1" applyBorder="1"/>
    <xf numFmtId="0" fontId="35" fillId="7" borderId="16" xfId="0" applyFont="1" applyFill="1" applyBorder="1" applyAlignment="1">
      <alignment vertical="center" wrapText="1"/>
    </xf>
    <xf numFmtId="0" fontId="35" fillId="7" borderId="19" xfId="0" applyFont="1" applyFill="1" applyBorder="1" applyAlignment="1">
      <alignment vertical="center" wrapText="1"/>
    </xf>
    <xf numFmtId="0" fontId="39" fillId="7" borderId="20" xfId="0" applyFont="1" applyFill="1" applyBorder="1" applyAlignment="1"/>
    <xf numFmtId="1" fontId="0" fillId="12" borderId="20" xfId="0" applyNumberFormat="1" applyFill="1" applyBorder="1" applyAlignment="1"/>
    <xf numFmtId="1" fontId="0" fillId="12" borderId="7" xfId="0" applyNumberFormat="1" applyFill="1" applyBorder="1" applyAlignment="1"/>
    <xf numFmtId="1" fontId="0" fillId="7" borderId="7" xfId="0" applyNumberFormat="1" applyFill="1" applyBorder="1" applyAlignment="1"/>
    <xf numFmtId="1" fontId="0" fillId="4" borderId="7" xfId="0" applyNumberFormat="1" applyFill="1" applyBorder="1" applyAlignment="1"/>
    <xf numFmtId="0" fontId="35" fillId="7" borderId="43" xfId="0" applyFont="1" applyFill="1" applyBorder="1" applyAlignment="1">
      <alignment vertical="center" wrapText="1"/>
    </xf>
    <xf numFmtId="0" fontId="35" fillId="7" borderId="10" xfId="0" applyFont="1" applyFill="1" applyBorder="1" applyAlignment="1">
      <alignment vertical="center" wrapText="1"/>
    </xf>
    <xf numFmtId="0" fontId="39" fillId="7" borderId="33" xfId="0" applyFont="1" applyFill="1" applyBorder="1" applyAlignment="1"/>
    <xf numFmtId="2" fontId="72" fillId="0" borderId="2" xfId="0" applyNumberFormat="1" applyFont="1" applyFill="1" applyBorder="1"/>
    <xf numFmtId="2" fontId="23" fillId="7" borderId="2" xfId="0" applyNumberFormat="1" applyFont="1" applyFill="1" applyBorder="1"/>
    <xf numFmtId="0" fontId="0" fillId="0" borderId="11" xfId="0" applyBorder="1"/>
    <xf numFmtId="0" fontId="51" fillId="0" borderId="18" xfId="0" applyFont="1" applyFill="1" applyBorder="1"/>
    <xf numFmtId="0" fontId="85" fillId="0" borderId="0" xfId="0" applyFont="1" applyFill="1" applyBorder="1"/>
    <xf numFmtId="0" fontId="51" fillId="0" borderId="18" xfId="0" applyFont="1" applyBorder="1"/>
    <xf numFmtId="0" fontId="0" fillId="0" borderId="19" xfId="0" applyFont="1" applyBorder="1"/>
    <xf numFmtId="0" fontId="0" fillId="0" borderId="19" xfId="0" applyBorder="1"/>
    <xf numFmtId="0" fontId="65" fillId="0" borderId="0" xfId="0" applyFont="1" applyFill="1" applyBorder="1"/>
    <xf numFmtId="0" fontId="20" fillId="0" borderId="0" xfId="0" applyFont="1" applyFill="1" applyBorder="1"/>
    <xf numFmtId="0" fontId="14" fillId="0" borderId="19" xfId="0" applyFont="1" applyFill="1" applyBorder="1"/>
    <xf numFmtId="0" fontId="14" fillId="0" borderId="0" xfId="0" applyFont="1" applyBorder="1"/>
    <xf numFmtId="0" fontId="14" fillId="0" borderId="19" xfId="0" applyFont="1" applyBorder="1"/>
    <xf numFmtId="0" fontId="0" fillId="0" borderId="18" xfId="0" applyFill="1" applyBorder="1"/>
    <xf numFmtId="0" fontId="39" fillId="7" borderId="0" xfId="0" applyFont="1" applyFill="1" applyBorder="1" applyAlignment="1">
      <alignment horizontal="center"/>
    </xf>
    <xf numFmtId="0" fontId="20" fillId="0" borderId="18" xfId="0" applyFont="1" applyFill="1" applyBorder="1" applyAlignment="1">
      <alignment horizontal="right"/>
    </xf>
    <xf numFmtId="0" fontId="2" fillId="0" borderId="18" xfId="0" applyFont="1" applyFill="1" applyBorder="1"/>
    <xf numFmtId="0" fontId="2" fillId="0" borderId="12" xfId="0" applyFont="1" applyFill="1" applyBorder="1"/>
    <xf numFmtId="0" fontId="20" fillId="0" borderId="0" xfId="0" applyFont="1" applyFill="1"/>
    <xf numFmtId="0" fontId="11" fillId="0" borderId="0" xfId="0" applyFont="1" applyAlignment="1">
      <alignment horizontal="center"/>
    </xf>
    <xf numFmtId="0" fontId="11" fillId="6" borderId="0" xfId="0" applyNumberFormat="1" applyFont="1" applyFill="1" applyAlignment="1">
      <alignment horizontal="center"/>
    </xf>
    <xf numFmtId="0" fontId="11" fillId="0" borderId="0" xfId="0" applyNumberFormat="1" applyFont="1" applyFill="1" applyAlignment="1">
      <alignment horizontal="center"/>
    </xf>
    <xf numFmtId="0" fontId="11" fillId="3" borderId="0" xfId="0" applyNumberFormat="1" applyFont="1" applyFill="1" applyAlignment="1">
      <alignment horizontal="center"/>
    </xf>
    <xf numFmtId="0" fontId="11" fillId="17" borderId="0" xfId="0" applyNumberFormat="1" applyFont="1" applyFill="1" applyAlignment="1">
      <alignment horizontal="center"/>
    </xf>
    <xf numFmtId="0" fontId="11" fillId="18" borderId="0" xfId="0" applyNumberFormat="1" applyFont="1" applyFill="1" applyAlignment="1">
      <alignment horizontal="center"/>
    </xf>
    <xf numFmtId="0" fontId="11" fillId="19" borderId="0" xfId="0" applyNumberFormat="1" applyFont="1" applyFill="1" applyAlignment="1">
      <alignment horizontal="center"/>
    </xf>
    <xf numFmtId="0" fontId="11" fillId="0" borderId="0" xfId="0" applyNumberFormat="1" applyFont="1"/>
    <xf numFmtId="0" fontId="59" fillId="0" borderId="2" xfId="0" applyFont="1" applyBorder="1" applyAlignment="1">
      <alignment horizontal="center"/>
    </xf>
    <xf numFmtId="1" fontId="0" fillId="12" borderId="33" xfId="0" applyNumberFormat="1" applyFill="1" applyBorder="1" applyAlignment="1"/>
    <xf numFmtId="1" fontId="0" fillId="12" borderId="34" xfId="0" applyNumberFormat="1" applyFill="1" applyBorder="1" applyAlignment="1"/>
    <xf numFmtId="1" fontId="0" fillId="7" borderId="34" xfId="0" applyNumberFormat="1" applyFill="1" applyBorder="1" applyAlignment="1"/>
    <xf numFmtId="1" fontId="0" fillId="4" borderId="34" xfId="0" applyNumberFormat="1" applyFill="1" applyBorder="1" applyAlignment="1"/>
    <xf numFmtId="0" fontId="2" fillId="0" borderId="2" xfId="0" applyFont="1" applyFill="1" applyBorder="1" applyAlignment="1">
      <alignment horizontal="left"/>
    </xf>
    <xf numFmtId="0" fontId="2" fillId="0" borderId="0" xfId="0" applyFont="1" applyFill="1" applyBorder="1"/>
    <xf numFmtId="0" fontId="72" fillId="0" borderId="0" xfId="0" applyFont="1" applyFill="1" applyBorder="1"/>
    <xf numFmtId="0" fontId="87" fillId="7" borderId="5" xfId="0" applyFont="1" applyFill="1" applyBorder="1" applyAlignment="1">
      <alignment horizontal="center" vertical="top"/>
    </xf>
    <xf numFmtId="0" fontId="87" fillId="7" borderId="9" xfId="0" applyFont="1" applyFill="1" applyBorder="1" applyAlignment="1">
      <alignment horizontal="center" vertical="top"/>
    </xf>
    <xf numFmtId="0" fontId="14" fillId="7" borderId="13" xfId="0" applyFont="1" applyFill="1" applyBorder="1" applyAlignment="1"/>
    <xf numFmtId="0" fontId="14" fillId="7" borderId="6" xfId="0" applyFont="1" applyFill="1" applyBorder="1" applyAlignment="1">
      <alignment horizontal="center"/>
    </xf>
    <xf numFmtId="0" fontId="87" fillId="7" borderId="5" xfId="0" applyFont="1" applyFill="1" applyBorder="1" applyAlignment="1">
      <alignment vertical="top" wrapText="1"/>
    </xf>
    <xf numFmtId="0" fontId="14" fillId="6" borderId="2" xfId="0" applyFont="1" applyFill="1" applyBorder="1" applyAlignment="1">
      <alignment horizontal="left"/>
    </xf>
    <xf numFmtId="0" fontId="14" fillId="6" borderId="2" xfId="0" applyFont="1" applyFill="1" applyBorder="1" applyAlignment="1">
      <alignment horizontal="center"/>
    </xf>
    <xf numFmtId="49" fontId="14" fillId="6" borderId="2" xfId="0" applyNumberFormat="1" applyFont="1" applyFill="1" applyBorder="1" applyAlignment="1">
      <alignment horizontal="center"/>
    </xf>
    <xf numFmtId="0" fontId="14" fillId="6" borderId="4" xfId="0" applyFont="1" applyFill="1" applyBorder="1" applyAlignment="1">
      <alignment horizontal="center"/>
    </xf>
    <xf numFmtId="1" fontId="14" fillId="12" borderId="13" xfId="0" applyNumberFormat="1" applyFont="1" applyFill="1" applyBorder="1" applyAlignment="1"/>
    <xf numFmtId="1" fontId="14" fillId="12" borderId="20" xfId="0" applyNumberFormat="1" applyFont="1" applyFill="1" applyBorder="1" applyAlignment="1">
      <alignment horizontal="center"/>
    </xf>
    <xf numFmtId="2" fontId="14" fillId="12" borderId="2" xfId="0" applyNumberFormat="1" applyFont="1" applyFill="1" applyBorder="1" applyAlignment="1">
      <alignment horizontal="center"/>
    </xf>
    <xf numFmtId="1" fontId="14" fillId="12" borderId="2" xfId="0" applyNumberFormat="1" applyFont="1" applyFill="1" applyBorder="1" applyAlignment="1">
      <alignment horizontal="center"/>
    </xf>
    <xf numFmtId="164" fontId="14" fillId="12" borderId="2" xfId="0" applyNumberFormat="1" applyFont="1" applyFill="1" applyBorder="1" applyAlignment="1">
      <alignment horizontal="center"/>
    </xf>
    <xf numFmtId="1" fontId="14" fillId="12" borderId="3" xfId="0" applyNumberFormat="1" applyFont="1" applyFill="1" applyBorder="1" applyAlignment="1"/>
    <xf numFmtId="1" fontId="14" fillId="12" borderId="7" xfId="0" applyNumberFormat="1" applyFont="1" applyFill="1" applyBorder="1" applyAlignment="1">
      <alignment horizontal="center"/>
    </xf>
    <xf numFmtId="0" fontId="14" fillId="6" borderId="8" xfId="0" applyFont="1" applyFill="1" applyBorder="1" applyAlignment="1">
      <alignment horizontal="center"/>
    </xf>
    <xf numFmtId="0" fontId="14" fillId="0" borderId="2" xfId="0" applyFont="1" applyBorder="1" applyAlignment="1">
      <alignment horizontal="left"/>
    </xf>
    <xf numFmtId="0" fontId="14" fillId="0" borderId="2" xfId="0" applyFont="1" applyBorder="1" applyAlignment="1">
      <alignment horizontal="center"/>
    </xf>
    <xf numFmtId="49" fontId="14" fillId="0" borderId="2" xfId="0" applyNumberFormat="1" applyFont="1" applyBorder="1" applyAlignment="1">
      <alignment horizontal="center"/>
    </xf>
    <xf numFmtId="49" fontId="14" fillId="7" borderId="2" xfId="0" applyNumberFormat="1" applyFont="1" applyFill="1" applyBorder="1" applyAlignment="1">
      <alignment horizontal="center"/>
    </xf>
    <xf numFmtId="1" fontId="14" fillId="7" borderId="3" xfId="0" applyNumberFormat="1" applyFont="1" applyFill="1" applyBorder="1" applyAlignment="1"/>
    <xf numFmtId="1" fontId="14" fillId="7" borderId="7" xfId="0" applyNumberFormat="1" applyFont="1" applyFill="1" applyBorder="1" applyAlignment="1">
      <alignment horizontal="center"/>
    </xf>
    <xf numFmtId="2" fontId="14" fillId="7" borderId="2" xfId="0" applyNumberFormat="1" applyFont="1" applyFill="1" applyBorder="1" applyAlignment="1">
      <alignment horizontal="center"/>
    </xf>
    <xf numFmtId="166" fontId="14" fillId="7" borderId="2" xfId="0" applyNumberFormat="1" applyFont="1" applyFill="1" applyBorder="1" applyAlignment="1">
      <alignment horizontal="center"/>
    </xf>
    <xf numFmtId="2" fontId="14" fillId="0" borderId="2" xfId="0" applyNumberFormat="1" applyFont="1" applyBorder="1" applyAlignment="1">
      <alignment horizontal="center"/>
    </xf>
    <xf numFmtId="1" fontId="14" fillId="0" borderId="2" xfId="0" applyNumberFormat="1" applyFont="1" applyBorder="1" applyAlignment="1">
      <alignment horizontal="center"/>
    </xf>
    <xf numFmtId="164" fontId="14" fillId="0" borderId="2" xfId="0" applyNumberFormat="1" applyFont="1" applyBorder="1" applyAlignment="1">
      <alignment horizontal="center"/>
    </xf>
    <xf numFmtId="0" fontId="14" fillId="11" borderId="2" xfId="0" applyFont="1" applyFill="1" applyBorder="1" applyAlignment="1">
      <alignment horizontal="left"/>
    </xf>
    <xf numFmtId="0" fontId="14" fillId="11" borderId="2" xfId="0" applyFont="1" applyFill="1" applyBorder="1" applyAlignment="1">
      <alignment horizontal="center"/>
    </xf>
    <xf numFmtId="49" fontId="14" fillId="11" borderId="2" xfId="0" applyNumberFormat="1" applyFont="1" applyFill="1" applyBorder="1" applyAlignment="1">
      <alignment horizontal="center"/>
    </xf>
    <xf numFmtId="1" fontId="14" fillId="4" borderId="3" xfId="0" applyNumberFormat="1" applyFont="1" applyFill="1" applyBorder="1" applyAlignment="1"/>
    <xf numFmtId="1" fontId="14" fillId="4" borderId="7" xfId="0" applyNumberFormat="1" applyFont="1" applyFill="1" applyBorder="1" applyAlignment="1">
      <alignment horizontal="center"/>
    </xf>
    <xf numFmtId="2" fontId="14" fillId="4" borderId="2" xfId="0" applyNumberFormat="1" applyFont="1" applyFill="1" applyBorder="1" applyAlignment="1">
      <alignment horizontal="center"/>
    </xf>
    <xf numFmtId="166" fontId="14" fillId="4" borderId="2" xfId="0" applyNumberFormat="1" applyFont="1" applyFill="1" applyBorder="1" applyAlignment="1">
      <alignment horizontal="center"/>
    </xf>
    <xf numFmtId="1" fontId="14" fillId="4" borderId="2" xfId="0" applyNumberFormat="1" applyFont="1" applyFill="1" applyBorder="1" applyAlignment="1">
      <alignment horizontal="center"/>
    </xf>
    <xf numFmtId="164" fontId="14" fillId="4" borderId="2" xfId="0" applyNumberFormat="1" applyFont="1" applyFill="1" applyBorder="1" applyAlignment="1">
      <alignment horizontal="center"/>
    </xf>
    <xf numFmtId="166" fontId="14" fillId="0" borderId="2" xfId="0" applyNumberFormat="1" applyFont="1" applyBorder="1" applyAlignment="1">
      <alignment horizontal="center"/>
    </xf>
    <xf numFmtId="0" fontId="59" fillId="0" borderId="0" xfId="0" applyFont="1" applyFill="1" applyBorder="1"/>
    <xf numFmtId="0" fontId="14" fillId="0" borderId="0" xfId="0" applyFont="1" applyFill="1"/>
    <xf numFmtId="0" fontId="14" fillId="3" borderId="2" xfId="0" applyFont="1" applyFill="1" applyBorder="1" applyAlignment="1">
      <alignment horizontal="center"/>
    </xf>
    <xf numFmtId="0" fontId="87" fillId="7" borderId="14" xfId="0" applyFont="1" applyFill="1" applyBorder="1" applyAlignment="1">
      <alignment vertical="center" wrapText="1"/>
    </xf>
    <xf numFmtId="0" fontId="87" fillId="7" borderId="15" xfId="0" applyFont="1" applyFill="1" applyBorder="1" applyAlignment="1">
      <alignment vertical="center" wrapText="1"/>
    </xf>
    <xf numFmtId="0" fontId="87" fillId="7" borderId="17" xfId="0" applyFont="1" applyFill="1" applyBorder="1" applyAlignment="1"/>
    <xf numFmtId="0" fontId="87" fillId="7" borderId="7" xfId="0" applyFont="1" applyFill="1" applyBorder="1" applyAlignment="1"/>
    <xf numFmtId="0" fontId="87" fillId="7" borderId="4" xfId="0" applyFont="1" applyFill="1" applyBorder="1" applyAlignment="1"/>
    <xf numFmtId="0" fontId="87" fillId="0" borderId="2" xfId="0" applyFont="1" applyBorder="1" applyAlignment="1">
      <alignment vertical="center"/>
    </xf>
    <xf numFmtId="0" fontId="87" fillId="0" borderId="2" xfId="0" applyFont="1" applyBorder="1" applyAlignment="1">
      <alignment horizontal="center" vertical="center"/>
    </xf>
    <xf numFmtId="0" fontId="0" fillId="0" borderId="22" xfId="0" applyBorder="1"/>
    <xf numFmtId="0" fontId="0" fillId="0" borderId="36" xfId="0" applyBorder="1"/>
    <xf numFmtId="0" fontId="0" fillId="0" borderId="35" xfId="0" applyBorder="1"/>
    <xf numFmtId="0" fontId="14" fillId="7" borderId="0" xfId="0" applyFont="1" applyFill="1" applyBorder="1" applyAlignment="1">
      <alignment horizontal="center"/>
    </xf>
    <xf numFmtId="0" fontId="87" fillId="7" borderId="44" xfId="0" applyFont="1" applyFill="1" applyBorder="1" applyAlignment="1">
      <alignment horizontal="center" vertical="top"/>
    </xf>
    <xf numFmtId="0" fontId="87" fillId="7" borderId="45" xfId="0" applyFont="1" applyFill="1" applyBorder="1" applyAlignment="1">
      <alignment horizontal="center" vertical="top"/>
    </xf>
    <xf numFmtId="0" fontId="14" fillId="7" borderId="46" xfId="0" applyFont="1" applyFill="1" applyBorder="1" applyAlignment="1">
      <alignment horizontal="center"/>
    </xf>
    <xf numFmtId="1" fontId="14" fillId="12" borderId="47" xfId="0" applyNumberFormat="1" applyFont="1" applyFill="1" applyBorder="1" applyAlignment="1">
      <alignment horizontal="center"/>
    </xf>
    <xf numFmtId="1" fontId="14" fillId="0" borderId="47" xfId="0" applyNumberFormat="1" applyFont="1" applyBorder="1" applyAlignment="1">
      <alignment horizontal="center"/>
    </xf>
    <xf numFmtId="1" fontId="14" fillId="4" borderId="47" xfId="0" applyNumberFormat="1" applyFont="1" applyFill="1" applyBorder="1" applyAlignment="1">
      <alignment horizontal="center"/>
    </xf>
    <xf numFmtId="0" fontId="14" fillId="11" borderId="49" xfId="0" applyFont="1" applyFill="1" applyBorder="1" applyAlignment="1">
      <alignment horizontal="left"/>
    </xf>
    <xf numFmtId="0" fontId="14" fillId="11" borderId="49" xfId="0" applyFont="1" applyFill="1" applyBorder="1" applyAlignment="1">
      <alignment horizontal="center"/>
    </xf>
    <xf numFmtId="49" fontId="14" fillId="11" borderId="49" xfId="0" applyNumberFormat="1" applyFont="1" applyFill="1" applyBorder="1" applyAlignment="1">
      <alignment horizontal="center"/>
    </xf>
    <xf numFmtId="0" fontId="14" fillId="6" borderId="30" xfId="0" applyFont="1" applyFill="1" applyBorder="1" applyAlignment="1">
      <alignment horizontal="center"/>
    </xf>
    <xf numFmtId="0" fontId="14" fillId="6" borderId="29" xfId="0" applyFont="1" applyFill="1" applyBorder="1" applyAlignment="1">
      <alignment horizontal="center"/>
    </xf>
    <xf numFmtId="1" fontId="14" fillId="4" borderId="50" xfId="0" applyNumberFormat="1" applyFont="1" applyFill="1" applyBorder="1" applyAlignment="1"/>
    <xf numFmtId="1" fontId="14" fillId="4" borderId="30" xfId="0" applyNumberFormat="1" applyFont="1" applyFill="1" applyBorder="1" applyAlignment="1">
      <alignment horizontal="center"/>
    </xf>
    <xf numFmtId="2" fontId="14" fillId="4" borderId="49" xfId="0" applyNumberFormat="1" applyFont="1" applyFill="1" applyBorder="1" applyAlignment="1">
      <alignment horizontal="center"/>
    </xf>
    <xf numFmtId="1" fontId="14" fillId="4" borderId="49" xfId="0" applyNumberFormat="1" applyFont="1" applyFill="1" applyBorder="1" applyAlignment="1">
      <alignment horizontal="center"/>
    </xf>
    <xf numFmtId="164" fontId="14" fillId="4" borderId="49" xfId="0" applyNumberFormat="1" applyFont="1" applyFill="1" applyBorder="1" applyAlignment="1">
      <alignment horizontal="center"/>
    </xf>
    <xf numFmtId="1" fontId="14" fillId="4" borderId="51" xfId="0" applyNumberFormat="1" applyFont="1" applyFill="1" applyBorder="1" applyAlignment="1">
      <alignment horizontal="center"/>
    </xf>
    <xf numFmtId="0" fontId="14" fillId="0" borderId="2" xfId="0" applyFont="1" applyFill="1" applyBorder="1"/>
    <xf numFmtId="0" fontId="97" fillId="0" borderId="2" xfId="0" applyFont="1" applyFill="1" applyBorder="1"/>
    <xf numFmtId="0" fontId="72" fillId="0" borderId="6" xfId="0" applyFont="1" applyFill="1" applyBorder="1"/>
    <xf numFmtId="0" fontId="80" fillId="0" borderId="21" xfId="0" applyFont="1" applyFill="1" applyBorder="1" applyAlignment="1">
      <alignment horizontal="left"/>
    </xf>
    <xf numFmtId="0" fontId="59" fillId="0" borderId="22" xfId="0" applyFont="1" applyFill="1" applyBorder="1"/>
    <xf numFmtId="0" fontId="72" fillId="0" borderId="31" xfId="0" applyFont="1" applyFill="1" applyBorder="1"/>
    <xf numFmtId="0" fontId="72" fillId="0" borderId="52" xfId="0" applyFont="1" applyFill="1" applyBorder="1"/>
    <xf numFmtId="0" fontId="59" fillId="0" borderId="52" xfId="0" applyFont="1" applyFill="1" applyBorder="1"/>
    <xf numFmtId="0" fontId="59" fillId="0" borderId="53" xfId="0" applyFont="1" applyFill="1" applyBorder="1"/>
    <xf numFmtId="0" fontId="14" fillId="0" borderId="22" xfId="0" applyFont="1" applyBorder="1"/>
    <xf numFmtId="0" fontId="99" fillId="0" borderId="10" xfId="0" applyFont="1" applyFill="1" applyBorder="1" applyAlignment="1">
      <alignment horizontal="center"/>
    </xf>
    <xf numFmtId="0" fontId="99" fillId="0" borderId="10" xfId="0" applyFont="1" applyBorder="1" applyAlignment="1">
      <alignment horizontal="center"/>
    </xf>
    <xf numFmtId="0" fontId="99" fillId="0" borderId="48" xfId="0" applyFont="1" applyBorder="1" applyAlignment="1">
      <alignment horizontal="center"/>
    </xf>
    <xf numFmtId="0" fontId="2" fillId="0" borderId="41" xfId="0" applyFont="1" applyFill="1" applyBorder="1" applyAlignment="1"/>
    <xf numFmtId="0" fontId="2" fillId="0" borderId="22" xfId="0" applyFont="1" applyFill="1" applyBorder="1" applyAlignment="1"/>
    <xf numFmtId="0" fontId="14" fillId="6" borderId="2" xfId="0" quotePrefix="1" applyFont="1" applyFill="1" applyBorder="1" applyAlignment="1">
      <alignment horizontal="center"/>
    </xf>
    <xf numFmtId="0" fontId="2" fillId="0" borderId="0" xfId="0" applyFont="1" applyFill="1"/>
    <xf numFmtId="0" fontId="66" fillId="0" borderId="0" xfId="0" applyFont="1" applyFill="1" applyAlignment="1">
      <alignment horizontal="left"/>
    </xf>
    <xf numFmtId="0" fontId="14" fillId="9" borderId="2" xfId="0" applyFont="1" applyFill="1" applyBorder="1" applyAlignment="1">
      <alignment horizontal="center"/>
    </xf>
    <xf numFmtId="164" fontId="3" fillId="20" borderId="1" xfId="0" applyNumberFormat="1" applyFont="1" applyFill="1" applyBorder="1" applyAlignment="1">
      <alignment horizontal="left"/>
    </xf>
    <xf numFmtId="164" fontId="3" fillId="20" borderId="0" xfId="0" applyNumberFormat="1" applyFont="1" applyFill="1" applyBorder="1" applyAlignment="1">
      <alignment horizontal="left"/>
    </xf>
    <xf numFmtId="0" fontId="12" fillId="7" borderId="2" xfId="0" applyFont="1" applyFill="1" applyBorder="1" applyAlignment="1">
      <alignment horizontal="center"/>
    </xf>
    <xf numFmtId="0" fontId="12" fillId="7" borderId="17" xfId="0" applyFont="1" applyFill="1" applyBorder="1" applyAlignment="1">
      <alignment horizontal="center"/>
    </xf>
    <xf numFmtId="0" fontId="12" fillId="7" borderId="4" xfId="0" applyFont="1" applyFill="1" applyBorder="1" applyAlignment="1">
      <alignment horizontal="center"/>
    </xf>
    <xf numFmtId="0" fontId="12" fillId="7" borderId="7" xfId="0" applyFont="1" applyFill="1" applyBorder="1" applyAlignment="1">
      <alignment horizontal="center"/>
    </xf>
    <xf numFmtId="0" fontId="12" fillId="7" borderId="34" xfId="0" applyFont="1" applyFill="1" applyBorder="1" applyAlignment="1">
      <alignment horizontal="center"/>
    </xf>
    <xf numFmtId="0" fontId="12" fillId="7" borderId="14" xfId="0" applyFont="1" applyFill="1" applyBorder="1" applyAlignment="1">
      <alignment horizontal="center" vertical="top" wrapText="1"/>
    </xf>
    <xf numFmtId="0" fontId="12" fillId="7" borderId="15" xfId="0" applyFont="1" applyFill="1" applyBorder="1" applyAlignment="1">
      <alignment horizontal="center" vertical="top" wrapText="1"/>
    </xf>
    <xf numFmtId="0" fontId="12" fillId="7" borderId="5" xfId="0" applyFont="1" applyFill="1" applyBorder="1" applyAlignment="1">
      <alignment horizontal="center" vertical="top" wrapText="1"/>
    </xf>
    <xf numFmtId="0" fontId="12" fillId="7" borderId="9" xfId="0" applyFont="1" applyFill="1" applyBorder="1" applyAlignment="1">
      <alignment horizontal="center" vertical="top" wrapText="1"/>
    </xf>
    <xf numFmtId="0" fontId="65" fillId="7" borderId="0" xfId="0" applyFont="1" applyFill="1" applyAlignment="1">
      <alignment horizontal="left" wrapText="1"/>
    </xf>
    <xf numFmtId="0" fontId="65" fillId="7" borderId="35" xfId="0" applyFont="1" applyFill="1" applyBorder="1" applyAlignment="1">
      <alignment horizontal="left" wrapText="1"/>
    </xf>
    <xf numFmtId="0" fontId="12" fillId="0" borderId="2" xfId="0" applyFont="1" applyBorder="1" applyAlignment="1">
      <alignment horizontal="center" vertical="center"/>
    </xf>
    <xf numFmtId="0" fontId="12" fillId="7" borderId="14" xfId="0" applyFont="1" applyFill="1" applyBorder="1" applyAlignment="1">
      <alignment vertical="center" wrapText="1"/>
    </xf>
    <xf numFmtId="0" fontId="12" fillId="7" borderId="15" xfId="0" applyFont="1" applyFill="1" applyBorder="1" applyAlignment="1">
      <alignment vertical="center" wrapText="1"/>
    </xf>
    <xf numFmtId="0" fontId="14" fillId="0" borderId="1" xfId="0" applyFont="1" applyBorder="1" applyAlignment="1">
      <alignment horizontal="left"/>
    </xf>
    <xf numFmtId="0" fontId="14" fillId="0" borderId="16" xfId="0" applyFont="1" applyBorder="1" applyAlignment="1">
      <alignment horizontal="left"/>
    </xf>
    <xf numFmtId="0" fontId="0" fillId="0" borderId="1" xfId="0" applyFont="1" applyBorder="1" applyAlignment="1">
      <alignment horizontal="left"/>
    </xf>
    <xf numFmtId="0" fontId="0" fillId="0" borderId="16" xfId="0" applyFont="1" applyBorder="1" applyAlignment="1">
      <alignment horizontal="left"/>
    </xf>
    <xf numFmtId="0" fontId="0" fillId="0" borderId="12" xfId="0" applyFont="1" applyBorder="1" applyAlignment="1">
      <alignment horizontal="left"/>
    </xf>
    <xf numFmtId="0" fontId="0" fillId="0" borderId="8" xfId="0" applyFont="1" applyBorder="1" applyAlignment="1">
      <alignment horizontal="left"/>
    </xf>
    <xf numFmtId="0" fontId="0" fillId="0" borderId="20" xfId="0" applyFont="1" applyBorder="1" applyAlignment="1">
      <alignment horizontal="left"/>
    </xf>
    <xf numFmtId="0" fontId="12" fillId="0" borderId="11" xfId="0" applyFont="1" applyBorder="1" applyAlignment="1">
      <alignment horizontal="left"/>
    </xf>
    <xf numFmtId="0" fontId="12" fillId="0" borderId="1" xfId="0" applyFont="1" applyBorder="1" applyAlignment="1">
      <alignment horizontal="left"/>
    </xf>
    <xf numFmtId="0" fontId="12" fillId="0" borderId="16" xfId="0" applyFont="1" applyBorder="1" applyAlignment="1">
      <alignment horizontal="left"/>
    </xf>
    <xf numFmtId="14" fontId="0" fillId="0" borderId="8" xfId="0" applyNumberFormat="1" applyFont="1" applyBorder="1" applyAlignment="1">
      <alignment horizontal="left"/>
    </xf>
    <xf numFmtId="14" fontId="0" fillId="0" borderId="20" xfId="0" applyNumberFormat="1" applyFont="1" applyBorder="1" applyAlignment="1">
      <alignment horizontal="left"/>
    </xf>
    <xf numFmtId="14" fontId="14" fillId="0" borderId="8" xfId="0" applyNumberFormat="1" applyFont="1" applyBorder="1" applyAlignment="1">
      <alignment horizontal="left"/>
    </xf>
    <xf numFmtId="14" fontId="14" fillId="0" borderId="20" xfId="0" applyNumberFormat="1" applyFont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7" xfId="0" applyBorder="1" applyAlignment="1">
      <alignment horizontal="left"/>
    </xf>
    <xf numFmtId="0" fontId="12" fillId="0" borderId="17" xfId="0" applyFont="1" applyBorder="1" applyAlignment="1">
      <alignment horizontal="left"/>
    </xf>
    <xf numFmtId="0" fontId="12" fillId="0" borderId="4" xfId="0" applyFont="1" applyBorder="1" applyAlignment="1">
      <alignment horizontal="left"/>
    </xf>
    <xf numFmtId="0" fontId="26" fillId="0" borderId="12" xfId="0" applyFont="1" applyFill="1" applyBorder="1" applyAlignment="1">
      <alignment horizontal="center"/>
    </xf>
    <xf numFmtId="0" fontId="26" fillId="0" borderId="8" xfId="0" applyFont="1" applyFill="1" applyBorder="1" applyAlignment="1">
      <alignment horizontal="center"/>
    </xf>
    <xf numFmtId="0" fontId="35" fillId="7" borderId="2" xfId="0" applyFont="1" applyFill="1" applyBorder="1" applyAlignment="1">
      <alignment horizontal="center"/>
    </xf>
    <xf numFmtId="0" fontId="35" fillId="7" borderId="17" xfId="0" applyFont="1" applyFill="1" applyBorder="1" applyAlignment="1">
      <alignment horizontal="center"/>
    </xf>
    <xf numFmtId="0" fontId="35" fillId="7" borderId="4" xfId="0" applyFont="1" applyFill="1" applyBorder="1" applyAlignment="1">
      <alignment horizontal="center"/>
    </xf>
    <xf numFmtId="0" fontId="35" fillId="7" borderId="7" xfId="0" applyFont="1" applyFill="1" applyBorder="1" applyAlignment="1">
      <alignment horizontal="center"/>
    </xf>
    <xf numFmtId="0" fontId="51" fillId="0" borderId="4" xfId="0" applyFont="1" applyFill="1" applyBorder="1" applyAlignment="1">
      <alignment horizontal="right"/>
    </xf>
    <xf numFmtId="0" fontId="26" fillId="0" borderId="11" xfId="0" applyFont="1" applyFill="1" applyBorder="1" applyAlignment="1">
      <alignment horizontal="center"/>
    </xf>
    <xf numFmtId="0" fontId="26" fillId="0" borderId="1" xfId="0" applyFont="1" applyFill="1" applyBorder="1" applyAlignment="1">
      <alignment horizontal="center"/>
    </xf>
    <xf numFmtId="0" fontId="15" fillId="0" borderId="4" xfId="0" applyFont="1" applyFill="1" applyBorder="1" applyAlignment="1">
      <alignment horizontal="right"/>
    </xf>
    <xf numFmtId="0" fontId="80" fillId="0" borderId="17" xfId="0" applyFont="1" applyFill="1" applyBorder="1" applyAlignment="1">
      <alignment horizontal="left"/>
    </xf>
    <xf numFmtId="0" fontId="80" fillId="0" borderId="4" xfId="0" applyFont="1" applyFill="1" applyBorder="1" applyAlignment="1">
      <alignment horizontal="left"/>
    </xf>
    <xf numFmtId="0" fontId="80" fillId="0" borderId="7" xfId="0" applyFont="1" applyFill="1" applyBorder="1" applyAlignment="1">
      <alignment horizontal="left"/>
    </xf>
    <xf numFmtId="0" fontId="35" fillId="0" borderId="2" xfId="0" applyFont="1" applyBorder="1" applyAlignment="1">
      <alignment horizontal="center" vertical="center"/>
    </xf>
    <xf numFmtId="0" fontId="22" fillId="0" borderId="2" xfId="0" applyFont="1" applyFill="1" applyBorder="1" applyAlignment="1">
      <alignment horizontal="center" textRotation="90" wrapText="1"/>
    </xf>
    <xf numFmtId="0" fontId="22" fillId="0" borderId="2" xfId="0" applyFont="1" applyFill="1" applyBorder="1" applyAlignment="1">
      <alignment horizontal="center" textRotation="90"/>
    </xf>
    <xf numFmtId="0" fontId="22" fillId="0" borderId="7" xfId="0" applyFont="1" applyFill="1" applyBorder="1" applyAlignment="1">
      <alignment horizontal="center" textRotation="90"/>
    </xf>
    <xf numFmtId="0" fontId="22" fillId="0" borderId="17" xfId="0" applyFont="1" applyFill="1" applyBorder="1" applyAlignment="1">
      <alignment horizontal="center" textRotation="90" wrapText="1"/>
    </xf>
    <xf numFmtId="0" fontId="22" fillId="0" borderId="17" xfId="0" applyFont="1" applyFill="1" applyBorder="1" applyAlignment="1">
      <alignment horizontal="center" textRotation="90"/>
    </xf>
    <xf numFmtId="0" fontId="35" fillId="0" borderId="2" xfId="0" applyFont="1" applyBorder="1" applyAlignment="1">
      <alignment horizontal="center" vertical="center" textRotation="90"/>
    </xf>
    <xf numFmtId="0" fontId="11" fillId="6" borderId="21" xfId="0" applyFont="1" applyFill="1" applyBorder="1" applyAlignment="1">
      <alignment horizontal="left"/>
    </xf>
    <xf numFmtId="0" fontId="11" fillId="6" borderId="22" xfId="0" applyFont="1" applyFill="1" applyBorder="1" applyAlignment="1">
      <alignment horizontal="left"/>
    </xf>
    <xf numFmtId="0" fontId="11" fillId="6" borderId="36" xfId="0" applyFont="1" applyFill="1" applyBorder="1" applyAlignment="1">
      <alignment horizontal="left"/>
    </xf>
    <xf numFmtId="0" fontId="17" fillId="0" borderId="2" xfId="0" applyFont="1" applyBorder="1" applyAlignment="1">
      <alignment horizontal="left"/>
    </xf>
    <xf numFmtId="14" fontId="17" fillId="0" borderId="2" xfId="0" applyNumberFormat="1" applyFont="1" applyBorder="1" applyAlignment="1">
      <alignment horizontal="center"/>
    </xf>
    <xf numFmtId="0" fontId="17" fillId="0" borderId="2" xfId="0" applyFont="1" applyBorder="1" applyAlignment="1">
      <alignment horizontal="center"/>
    </xf>
    <xf numFmtId="49" fontId="39" fillId="0" borderId="6" xfId="0" applyNumberFormat="1" applyFont="1" applyBorder="1" applyAlignment="1">
      <alignment horizontal="left"/>
    </xf>
    <xf numFmtId="49" fontId="39" fillId="0" borderId="2" xfId="0" applyNumberFormat="1" applyFont="1" applyBorder="1" applyAlignment="1">
      <alignment horizontal="left"/>
    </xf>
    <xf numFmtId="0" fontId="15" fillId="0" borderId="2" xfId="0" applyFont="1" applyBorder="1" applyAlignment="1">
      <alignment horizontal="left" vertical="center"/>
    </xf>
    <xf numFmtId="0" fontId="17" fillId="0" borderId="5" xfId="0" applyFont="1" applyBorder="1" applyAlignment="1">
      <alignment horizontal="left"/>
    </xf>
    <xf numFmtId="0" fontId="41" fillId="0" borderId="6" xfId="0" applyFont="1" applyBorder="1" applyAlignment="1">
      <alignment horizontal="center" vertical="center"/>
    </xf>
    <xf numFmtId="0" fontId="41" fillId="0" borderId="2" xfId="0" applyFont="1" applyBorder="1" applyAlignment="1">
      <alignment horizontal="center" vertical="center"/>
    </xf>
    <xf numFmtId="0" fontId="40" fillId="0" borderId="2" xfId="0" applyFont="1" applyFill="1" applyBorder="1" applyAlignment="1">
      <alignment horizontal="left"/>
    </xf>
    <xf numFmtId="0" fontId="35" fillId="0" borderId="0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9" xfId="0" applyFont="1" applyBorder="1" applyAlignment="1">
      <alignment horizontal="center"/>
    </xf>
    <xf numFmtId="0" fontId="35" fillId="0" borderId="30" xfId="0" applyFont="1" applyBorder="1" applyAlignment="1">
      <alignment horizontal="center"/>
    </xf>
  </cellXfs>
  <cellStyles count="2">
    <cellStyle name="Normal" xfId="0" builtinId="0"/>
    <cellStyle name="Procent" xfId="1" builtinId="5"/>
  </cellStyles>
  <dxfs count="1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FF25E0"/>
      </font>
      <fill>
        <patternFill>
          <bgColor rgb="FFFFC000"/>
        </patternFill>
      </fill>
    </dxf>
    <dxf>
      <font>
        <color rgb="FFFF25E0"/>
      </font>
      <fill>
        <patternFill>
          <bgColor rgb="FFFFC000"/>
        </patternFill>
      </fill>
    </dxf>
    <dxf>
      <font>
        <color rgb="FFFF25E0"/>
      </font>
      <fill>
        <patternFill>
          <bgColor rgb="FFFFC000"/>
        </patternFill>
      </fill>
    </dxf>
    <dxf>
      <font>
        <color rgb="FFFF25E0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25E0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25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Lines="20" dropStyle="combo" dx="20" fmlaRange="'Conductors SS-EN 50341-3-18'!$C$5:$C$108" noThreeD="1" sel="14" val="12"/>
</file>

<file path=xl/ctrlProps/ctrlProp2.xml><?xml version="1.0" encoding="utf-8"?>
<formControlPr xmlns="http://schemas.microsoft.com/office/spreadsheetml/2009/9/main" objectType="Drop" dropStyle="combo" dx="20" fmlaRange="Loadcases!$C$1:$C$16" noThreeD="1" sel="7" val="5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Radio" checked="Checked" firstButton="1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1025" name="Ledningslis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12</xdr:col>
          <xdr:colOff>0</xdr:colOff>
          <xdr:row>5</xdr:row>
          <xdr:rowOff>0</xdr:rowOff>
        </xdr:to>
        <xdr:sp macro="" textlink="">
          <xdr:nvSpPr>
            <xdr:cNvPr id="1026" name="presetlista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2</xdr:row>
          <xdr:rowOff>60960</xdr:rowOff>
        </xdr:from>
        <xdr:to>
          <xdr:col>15</xdr:col>
          <xdr:colOff>266700</xdr:colOff>
          <xdr:row>3</xdr:row>
          <xdr:rowOff>160020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2</xdr:col>
          <xdr:colOff>144780</xdr:colOff>
          <xdr:row>21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Insulator deflection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2</xdr:col>
          <xdr:colOff>114300</xdr:colOff>
          <xdr:row>31</xdr:row>
          <xdr:rowOff>160020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CCFF" mc:Ignorable="a14" a14:legacySpreadsheetColorIndex="31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Vertex calculation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0</xdr:rowOff>
        </xdr:from>
        <xdr:to>
          <xdr:col>7</xdr:col>
          <xdr:colOff>22860</xdr:colOff>
          <xdr:row>21</xdr:row>
          <xdr:rowOff>22860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given ah &amp; av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0</xdr:rowOff>
        </xdr:from>
        <xdr:to>
          <xdr:col>7</xdr:col>
          <xdr:colOff>38100</xdr:colOff>
          <xdr:row>22</xdr:row>
          <xdr:rowOff>22860</xdr:rowOff>
        </xdr:to>
        <xdr:sp macro="" textlink="">
          <xdr:nvSpPr>
            <xdr:cNvPr id="1031" name="Option 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Calc. ah &amp; av from a, Z &amp; L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230809</xdr:colOff>
      <xdr:row>1</xdr:row>
      <xdr:rowOff>64349</xdr:rowOff>
    </xdr:from>
    <xdr:to>
      <xdr:col>20</xdr:col>
      <xdr:colOff>434339</xdr:colOff>
      <xdr:row>3</xdr:row>
      <xdr:rowOff>147002</xdr:rowOff>
    </xdr:to>
    <xdr:pic>
      <xdr:nvPicPr>
        <xdr:cNvPr id="2" name="Bildobjek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83669" y="247229"/>
          <a:ext cx="874091" cy="44841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</xdr:row>
          <xdr:rowOff>152400</xdr:rowOff>
        </xdr:from>
        <xdr:to>
          <xdr:col>19</xdr:col>
          <xdr:colOff>60960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Hämta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556259</xdr:colOff>
      <xdr:row>2</xdr:row>
      <xdr:rowOff>213360</xdr:rowOff>
    </xdr:from>
    <xdr:to>
      <xdr:col>12</xdr:col>
      <xdr:colOff>99060</xdr:colOff>
      <xdr:row>4</xdr:row>
      <xdr:rowOff>177379</xdr:rowOff>
    </xdr:to>
    <xdr:pic>
      <xdr:nvPicPr>
        <xdr:cNvPr id="2" name="Bildobjek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79819" y="609600"/>
          <a:ext cx="807721" cy="39073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BJ71"/>
  <sheetViews>
    <sheetView zoomScale="80" zoomScaleNormal="80" workbookViewId="0">
      <selection activeCell="K39" sqref="K39"/>
    </sheetView>
  </sheetViews>
  <sheetFormatPr defaultRowHeight="14.4" x14ac:dyDescent="0.3"/>
  <cols>
    <col min="1" max="1" width="2.33203125" customWidth="1"/>
    <col min="2" max="2" width="13.88671875" customWidth="1"/>
    <col min="3" max="3" width="13.6640625" customWidth="1"/>
    <col min="4" max="4" width="12.33203125" customWidth="1"/>
    <col min="5" max="5" width="12.109375" customWidth="1"/>
    <col min="6" max="6" width="3.44140625" customWidth="1"/>
    <col min="7" max="7" width="3.109375" customWidth="1"/>
    <col min="8" max="8" width="22.6640625" customWidth="1"/>
    <col min="9" max="16" width="5.6640625" customWidth="1"/>
    <col min="17" max="17" width="61.33203125" style="176" customWidth="1"/>
    <col min="18" max="18" width="8.88671875" style="103" customWidth="1"/>
    <col min="19" max="19" width="8.88671875" style="103"/>
    <col min="20" max="20" width="8.88671875" style="103" customWidth="1"/>
    <col min="21" max="21" width="10.33203125" style="103" customWidth="1"/>
    <col min="22" max="22" width="10.109375" style="103" customWidth="1"/>
    <col min="23" max="23" width="9.33203125" style="103" customWidth="1"/>
    <col min="24" max="24" width="9.6640625" style="103" customWidth="1"/>
    <col min="25" max="25" width="9.88671875" style="103" customWidth="1"/>
    <col min="26" max="26" width="10.44140625" style="103" customWidth="1"/>
    <col min="27" max="27" width="9.6640625" style="103" customWidth="1"/>
    <col min="28" max="28" width="9.33203125" style="104" customWidth="1"/>
    <col min="29" max="29" width="10" style="104" customWidth="1"/>
    <col min="30" max="30" width="8.88671875" style="104"/>
    <col min="31" max="31" width="10.6640625" customWidth="1"/>
    <col min="32" max="32" width="9.88671875" customWidth="1"/>
    <col min="33" max="33" width="12.6640625" customWidth="1"/>
    <col min="34" max="34" width="11.6640625" customWidth="1"/>
    <col min="35" max="35" width="9.88671875" customWidth="1"/>
    <col min="36" max="47" width="10.6640625" customWidth="1"/>
    <col min="48" max="48" width="9.6640625" bestFit="1" customWidth="1"/>
    <col min="49" max="49" width="10.33203125" customWidth="1"/>
    <col min="50" max="50" width="19.33203125" customWidth="1"/>
    <col min="52" max="52" width="11.6640625" customWidth="1"/>
  </cols>
  <sheetData>
    <row r="1" spans="1:62" s="60" customFormat="1" ht="7.95" customHeight="1" x14ac:dyDescent="0.3">
      <c r="A1" s="60">
        <v>1</v>
      </c>
      <c r="B1" s="60">
        <v>2</v>
      </c>
      <c r="C1" s="60">
        <v>3</v>
      </c>
      <c r="D1" s="60">
        <v>4</v>
      </c>
      <c r="E1" s="60">
        <v>5</v>
      </c>
      <c r="F1" s="60">
        <v>6</v>
      </c>
      <c r="G1" s="60">
        <v>7</v>
      </c>
      <c r="H1" s="60">
        <v>8</v>
      </c>
      <c r="I1" s="60">
        <v>9</v>
      </c>
      <c r="J1" s="60">
        <v>10</v>
      </c>
      <c r="K1" s="60">
        <v>11</v>
      </c>
      <c r="L1" s="60">
        <v>12</v>
      </c>
      <c r="M1" s="60">
        <v>13</v>
      </c>
      <c r="N1" s="60">
        <v>14</v>
      </c>
      <c r="O1" s="60">
        <v>15</v>
      </c>
      <c r="P1" s="60">
        <v>16</v>
      </c>
      <c r="Q1" s="60">
        <v>17</v>
      </c>
      <c r="R1" s="60">
        <v>18</v>
      </c>
      <c r="S1" s="60">
        <v>19</v>
      </c>
      <c r="T1" s="60">
        <v>20</v>
      </c>
      <c r="U1" s="60">
        <v>21</v>
      </c>
      <c r="V1" s="60">
        <v>22</v>
      </c>
      <c r="W1" s="60">
        <v>23</v>
      </c>
      <c r="X1" s="60">
        <v>24</v>
      </c>
      <c r="Y1" s="60">
        <v>25</v>
      </c>
      <c r="Z1" s="60">
        <v>26</v>
      </c>
      <c r="AA1" s="60">
        <v>27</v>
      </c>
      <c r="AB1" s="60">
        <v>28</v>
      </c>
      <c r="AC1" s="60">
        <v>29</v>
      </c>
      <c r="AD1" s="60">
        <v>30</v>
      </c>
      <c r="AE1" s="222">
        <v>31</v>
      </c>
      <c r="AF1" s="60">
        <v>32</v>
      </c>
      <c r="AG1" s="60">
        <v>33</v>
      </c>
      <c r="AH1" s="60">
        <v>34</v>
      </c>
      <c r="AI1" s="60">
        <v>35</v>
      </c>
      <c r="AJ1" s="60">
        <v>36</v>
      </c>
      <c r="AK1" s="60">
        <v>37</v>
      </c>
      <c r="AL1" s="60">
        <v>38</v>
      </c>
      <c r="AM1" s="60">
        <v>39</v>
      </c>
      <c r="AN1" s="60">
        <v>40</v>
      </c>
      <c r="AO1" s="60">
        <v>41</v>
      </c>
      <c r="AP1" s="60">
        <v>42</v>
      </c>
      <c r="AQ1" s="60">
        <v>43</v>
      </c>
      <c r="AR1" s="60">
        <v>44</v>
      </c>
      <c r="AS1" s="60">
        <v>45</v>
      </c>
      <c r="AT1" s="60">
        <v>46</v>
      </c>
      <c r="AU1" s="60">
        <v>47</v>
      </c>
      <c r="AV1" s="60">
        <v>48</v>
      </c>
      <c r="AW1" s="60">
        <v>49</v>
      </c>
    </row>
    <row r="2" spans="1:62" s="46" customFormat="1" ht="15.6" customHeight="1" x14ac:dyDescent="0.3">
      <c r="A2" s="112" t="s">
        <v>283</v>
      </c>
      <c r="B2" s="113"/>
      <c r="C2" s="113"/>
      <c r="D2" s="113"/>
      <c r="E2" s="113"/>
      <c r="F2" s="113"/>
      <c r="G2" s="150" t="s">
        <v>84</v>
      </c>
      <c r="H2" s="151"/>
      <c r="I2" s="152"/>
      <c r="J2" s="152"/>
      <c r="K2" s="152"/>
      <c r="L2" s="152"/>
      <c r="M2" s="152"/>
      <c r="N2" s="152"/>
      <c r="O2" s="152"/>
      <c r="P2" s="152"/>
      <c r="Q2" s="170" t="s">
        <v>270</v>
      </c>
      <c r="R2" s="152"/>
      <c r="S2" s="152"/>
      <c r="T2" s="152"/>
      <c r="U2" s="152"/>
      <c r="V2" s="152"/>
      <c r="W2" s="152"/>
      <c r="X2" s="152"/>
      <c r="Y2" s="152"/>
      <c r="Z2" s="152"/>
      <c r="AA2" s="152"/>
      <c r="AB2" s="152"/>
      <c r="AC2" s="152"/>
      <c r="AD2" s="152"/>
      <c r="AE2" s="268" t="s">
        <v>250</v>
      </c>
      <c r="AF2" s="269"/>
      <c r="AG2" s="269"/>
      <c r="AH2" s="269">
        <v>25</v>
      </c>
      <c r="AI2" s="269">
        <v>26</v>
      </c>
      <c r="AJ2" s="270" t="s">
        <v>251</v>
      </c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170" t="s">
        <v>285</v>
      </c>
      <c r="AW2" s="152"/>
      <c r="AX2" s="223"/>
      <c r="AY2" s="256"/>
      <c r="AZ2" s="256"/>
      <c r="BA2" s="256"/>
      <c r="BB2" s="256"/>
      <c r="BC2" s="256"/>
      <c r="BD2" s="256"/>
      <c r="BE2" s="256"/>
      <c r="BF2" s="256"/>
      <c r="BG2" s="256"/>
      <c r="BH2" s="256"/>
      <c r="BI2" s="256"/>
      <c r="BJ2" s="255"/>
    </row>
    <row r="3" spans="1:62" s="46" customFormat="1" ht="15.6" customHeight="1" x14ac:dyDescent="0.35">
      <c r="A3" s="267" t="s">
        <v>293</v>
      </c>
      <c r="B3" s="115"/>
      <c r="C3" s="115"/>
      <c r="D3" s="115"/>
      <c r="E3" s="113"/>
      <c r="F3" s="113"/>
      <c r="G3" s="153"/>
      <c r="H3" s="154" t="s">
        <v>82</v>
      </c>
      <c r="I3" s="141">
        <v>-40</v>
      </c>
      <c r="J3" s="120" t="s">
        <v>99</v>
      </c>
      <c r="K3" s="155"/>
      <c r="L3" s="113"/>
      <c r="M3" s="113"/>
      <c r="N3" s="113"/>
      <c r="O3" s="113"/>
      <c r="P3" s="113"/>
      <c r="Q3" s="215" t="s">
        <v>79</v>
      </c>
      <c r="R3" s="213" t="s">
        <v>247</v>
      </c>
      <c r="S3" s="214" t="s">
        <v>249</v>
      </c>
      <c r="T3" s="213" t="s">
        <v>96</v>
      </c>
      <c r="U3" s="160"/>
      <c r="V3" s="152"/>
      <c r="W3" s="152"/>
      <c r="X3" s="152"/>
      <c r="Y3" s="152"/>
      <c r="Z3" s="152"/>
      <c r="AA3" s="152"/>
      <c r="AB3" s="152"/>
      <c r="AC3" s="152"/>
      <c r="AD3" s="152"/>
      <c r="AE3" s="150"/>
      <c r="AF3" s="155"/>
      <c r="AG3" s="155"/>
      <c r="AH3" s="155"/>
      <c r="AI3" s="155"/>
      <c r="AJ3" s="252" t="s">
        <v>277</v>
      </c>
      <c r="AK3" s="164"/>
      <c r="AL3" s="113"/>
      <c r="AM3" s="113"/>
      <c r="AN3" s="113"/>
      <c r="AO3" s="155"/>
      <c r="AP3" s="155"/>
      <c r="AQ3" s="155"/>
      <c r="AR3" s="155"/>
      <c r="AS3" s="155"/>
      <c r="AT3" s="155"/>
      <c r="AU3" s="155"/>
      <c r="AV3" s="170" t="s">
        <v>284</v>
      </c>
      <c r="AW3" s="155"/>
      <c r="AX3" s="297"/>
      <c r="AY3" s="255"/>
      <c r="AZ3" s="255"/>
      <c r="BA3" s="255"/>
      <c r="BB3" s="255"/>
      <c r="BC3" s="255"/>
      <c r="BD3" s="255"/>
      <c r="BE3" s="255"/>
      <c r="BF3" s="255"/>
      <c r="BG3" s="255"/>
      <c r="BH3" s="255"/>
      <c r="BI3" s="255"/>
      <c r="BJ3" s="255"/>
    </row>
    <row r="4" spans="1:62" ht="15.6" x14ac:dyDescent="0.35">
      <c r="A4" s="147" t="s">
        <v>79</v>
      </c>
      <c r="B4" s="45"/>
      <c r="C4" s="114"/>
      <c r="D4" s="116"/>
      <c r="E4" s="115"/>
      <c r="F4" s="115"/>
      <c r="G4" s="153"/>
      <c r="H4" s="154" t="s">
        <v>83</v>
      </c>
      <c r="I4" s="140">
        <v>50</v>
      </c>
      <c r="J4" s="120" t="s">
        <v>100</v>
      </c>
      <c r="K4" s="115"/>
      <c r="L4" s="115"/>
      <c r="M4" s="115"/>
      <c r="N4" s="115"/>
      <c r="O4" s="115"/>
      <c r="P4" s="115"/>
      <c r="Q4" s="216" t="s">
        <v>412</v>
      </c>
      <c r="R4" s="217">
        <v>177</v>
      </c>
      <c r="S4" s="217">
        <v>50</v>
      </c>
      <c r="T4" s="217">
        <v>14</v>
      </c>
      <c r="U4" s="550" t="s">
        <v>269</v>
      </c>
      <c r="V4" s="550"/>
      <c r="W4" s="551" t="s">
        <v>151</v>
      </c>
      <c r="X4" s="552"/>
      <c r="Y4" s="553"/>
      <c r="Z4" s="126"/>
      <c r="AA4" s="551" t="s">
        <v>150</v>
      </c>
      <c r="AB4" s="553"/>
      <c r="AC4" s="228" t="s">
        <v>255</v>
      </c>
      <c r="AD4" s="161"/>
      <c r="AE4" s="157"/>
      <c r="AF4" s="551" t="s">
        <v>274</v>
      </c>
      <c r="AG4" s="552"/>
      <c r="AH4" s="553"/>
      <c r="AI4" s="164"/>
      <c r="AJ4" s="554" t="s">
        <v>185</v>
      </c>
      <c r="AK4" s="553"/>
      <c r="AL4" s="550" t="s">
        <v>186</v>
      </c>
      <c r="AM4" s="550"/>
      <c r="AN4" s="550" t="s">
        <v>278</v>
      </c>
      <c r="AO4" s="550"/>
      <c r="AP4" s="550"/>
      <c r="AQ4" s="550"/>
      <c r="AR4" s="550" t="s">
        <v>279</v>
      </c>
      <c r="AS4" s="550"/>
      <c r="AT4" s="550"/>
      <c r="AU4" s="550"/>
      <c r="AV4" s="170"/>
      <c r="AW4" s="115"/>
      <c r="AX4" s="157"/>
      <c r="AY4" s="49"/>
      <c r="AZ4" s="49"/>
      <c r="BA4" s="49"/>
      <c r="BB4" s="49"/>
      <c r="BC4" s="49"/>
      <c r="BD4" s="49"/>
      <c r="BE4" s="49"/>
      <c r="BF4" s="49"/>
      <c r="BG4" s="49"/>
      <c r="BH4" s="49"/>
      <c r="BI4" s="49"/>
      <c r="BJ4" s="49"/>
    </row>
    <row r="5" spans="1:62" ht="14.4" customHeight="1" x14ac:dyDescent="0.35">
      <c r="A5" s="115"/>
      <c r="B5" s="127" t="s">
        <v>152</v>
      </c>
      <c r="C5" s="121" t="s">
        <v>412</v>
      </c>
      <c r="D5" s="122"/>
      <c r="E5" s="131"/>
      <c r="F5" s="131"/>
      <c r="G5" s="145" t="s">
        <v>204</v>
      </c>
      <c r="H5" s="148" t="s">
        <v>85</v>
      </c>
      <c r="I5" s="49"/>
      <c r="M5" s="276" t="s">
        <v>322</v>
      </c>
      <c r="N5" s="116"/>
      <c r="O5" s="116"/>
      <c r="P5" s="116"/>
      <c r="Q5" s="562" t="s">
        <v>181</v>
      </c>
      <c r="R5" s="230" t="s">
        <v>74</v>
      </c>
      <c r="S5" s="230" t="s">
        <v>74</v>
      </c>
      <c r="T5" s="230" t="s">
        <v>75</v>
      </c>
      <c r="U5" s="230" t="s">
        <v>254</v>
      </c>
      <c r="V5" s="230" t="s">
        <v>256</v>
      </c>
      <c r="W5" s="230" t="s">
        <v>258</v>
      </c>
      <c r="X5" s="230" t="s">
        <v>260</v>
      </c>
      <c r="Y5" s="230" t="s">
        <v>261</v>
      </c>
      <c r="Z5" s="230" t="s">
        <v>263</v>
      </c>
      <c r="AA5" s="230" t="s">
        <v>258</v>
      </c>
      <c r="AB5" s="230" t="s">
        <v>260</v>
      </c>
      <c r="AC5" s="230" t="s">
        <v>266</v>
      </c>
      <c r="AD5" s="231" t="s">
        <v>74</v>
      </c>
      <c r="AE5" s="232" t="s">
        <v>271</v>
      </c>
      <c r="AF5" s="244" t="s">
        <v>273</v>
      </c>
      <c r="AG5" s="240" t="s">
        <v>275</v>
      </c>
      <c r="AH5" s="260" t="s">
        <v>255</v>
      </c>
      <c r="AI5" s="243" t="s">
        <v>273</v>
      </c>
      <c r="AJ5" s="555" t="s">
        <v>188</v>
      </c>
      <c r="AK5" s="557" t="s">
        <v>187</v>
      </c>
      <c r="AL5" s="557" t="s">
        <v>189</v>
      </c>
      <c r="AM5" s="557" t="s">
        <v>187</v>
      </c>
      <c r="AN5" s="236" t="s">
        <v>190</v>
      </c>
      <c r="AO5" s="236" t="s">
        <v>191</v>
      </c>
      <c r="AP5" s="236" t="s">
        <v>191</v>
      </c>
      <c r="AQ5" s="236" t="s">
        <v>192</v>
      </c>
      <c r="AR5" s="236" t="s">
        <v>190</v>
      </c>
      <c r="AS5" s="236" t="s">
        <v>191</v>
      </c>
      <c r="AT5" s="236" t="s">
        <v>191</v>
      </c>
      <c r="AU5" s="241" t="s">
        <v>192</v>
      </c>
      <c r="AV5" s="232" t="s">
        <v>280</v>
      </c>
      <c r="AW5" s="243" t="s">
        <v>280</v>
      </c>
      <c r="AX5" s="298" t="s">
        <v>246</v>
      </c>
      <c r="AY5" s="49"/>
      <c r="AZ5" s="49"/>
      <c r="BA5" s="49"/>
      <c r="BB5" s="49"/>
      <c r="BC5" s="49"/>
      <c r="BD5" s="49"/>
      <c r="BE5" s="49"/>
      <c r="BF5" s="49"/>
      <c r="BG5" s="49"/>
      <c r="BH5" s="49"/>
      <c r="BI5" s="49"/>
      <c r="BJ5" s="49"/>
    </row>
    <row r="6" spans="1:62" ht="15.6" x14ac:dyDescent="0.35">
      <c r="A6" s="152"/>
      <c r="B6" s="127" t="s">
        <v>101</v>
      </c>
      <c r="C6" s="137">
        <v>593</v>
      </c>
      <c r="D6" s="129" t="s">
        <v>90</v>
      </c>
      <c r="E6" s="130"/>
      <c r="F6" s="130"/>
      <c r="G6" s="157"/>
      <c r="H6" s="561" t="s">
        <v>177</v>
      </c>
      <c r="I6" s="561" t="s">
        <v>73</v>
      </c>
      <c r="J6" s="561" t="s">
        <v>74</v>
      </c>
      <c r="K6" s="561" t="s">
        <v>75</v>
      </c>
      <c r="L6" s="561" t="s">
        <v>76</v>
      </c>
      <c r="M6" s="277" t="s">
        <v>295</v>
      </c>
      <c r="N6" s="278" t="s">
        <v>98</v>
      </c>
      <c r="O6" s="279" t="s">
        <v>296</v>
      </c>
      <c r="P6" s="280" t="s">
        <v>297</v>
      </c>
      <c r="Q6" s="563"/>
      <c r="R6" s="233" t="s">
        <v>252</v>
      </c>
      <c r="S6" s="233" t="s">
        <v>253</v>
      </c>
      <c r="T6" s="233" t="s">
        <v>253</v>
      </c>
      <c r="U6" s="233" t="s">
        <v>257</v>
      </c>
      <c r="V6" s="233" t="s">
        <v>257</v>
      </c>
      <c r="W6" s="233" t="s">
        <v>259</v>
      </c>
      <c r="X6" s="233" t="s">
        <v>259</v>
      </c>
      <c r="Y6" s="233" t="s">
        <v>262</v>
      </c>
      <c r="Z6" s="233" t="s">
        <v>264</v>
      </c>
      <c r="AA6" s="233" t="s">
        <v>265</v>
      </c>
      <c r="AB6" s="233" t="s">
        <v>265</v>
      </c>
      <c r="AC6" s="233" t="s">
        <v>267</v>
      </c>
      <c r="AD6" s="234" t="s">
        <v>268</v>
      </c>
      <c r="AE6" s="235" t="s">
        <v>272</v>
      </c>
      <c r="AF6" s="244" t="s">
        <v>264</v>
      </c>
      <c r="AG6" s="238" t="s">
        <v>303</v>
      </c>
      <c r="AH6" s="239" t="s">
        <v>276</v>
      </c>
      <c r="AI6" s="244" t="s">
        <v>282</v>
      </c>
      <c r="AJ6" s="556"/>
      <c r="AK6" s="558"/>
      <c r="AL6" s="558"/>
      <c r="AM6" s="558"/>
      <c r="AN6" s="237" t="s">
        <v>193</v>
      </c>
      <c r="AO6" s="237" t="s">
        <v>194</v>
      </c>
      <c r="AP6" s="237" t="s">
        <v>193</v>
      </c>
      <c r="AQ6" s="237" t="s">
        <v>194</v>
      </c>
      <c r="AR6" s="237" t="s">
        <v>193</v>
      </c>
      <c r="AS6" s="237" t="s">
        <v>194</v>
      </c>
      <c r="AT6" s="237" t="s">
        <v>193</v>
      </c>
      <c r="AU6" s="242" t="s">
        <v>194</v>
      </c>
      <c r="AV6" s="235" t="s">
        <v>281</v>
      </c>
      <c r="AW6" s="244" t="s">
        <v>281</v>
      </c>
      <c r="AX6" s="224"/>
      <c r="AY6" s="49"/>
      <c r="AZ6" s="49"/>
      <c r="BA6" s="49"/>
      <c r="BB6" s="49"/>
      <c r="BC6" s="49"/>
      <c r="BD6" s="49"/>
      <c r="BE6" s="49"/>
      <c r="BF6" s="49"/>
      <c r="BG6" s="49"/>
      <c r="BH6" s="49"/>
      <c r="BI6" s="49"/>
      <c r="BJ6" s="49"/>
    </row>
    <row r="7" spans="1:62" ht="16.2" x14ac:dyDescent="0.3">
      <c r="A7" s="152"/>
      <c r="B7" s="127" t="s">
        <v>91</v>
      </c>
      <c r="C7" s="123">
        <v>31.7</v>
      </c>
      <c r="D7" s="121" t="s">
        <v>93</v>
      </c>
      <c r="E7" s="131"/>
      <c r="F7" s="131"/>
      <c r="G7" s="157"/>
      <c r="H7" s="561"/>
      <c r="I7" s="561"/>
      <c r="J7" s="561"/>
      <c r="K7" s="561"/>
      <c r="L7" s="561"/>
      <c r="M7" s="277" t="s">
        <v>298</v>
      </c>
      <c r="N7" s="278" t="s">
        <v>25</v>
      </c>
      <c r="O7" s="279" t="s">
        <v>23</v>
      </c>
      <c r="P7" s="280" t="s">
        <v>299</v>
      </c>
      <c r="Q7" s="171"/>
      <c r="R7" s="156" t="s">
        <v>88</v>
      </c>
      <c r="S7" s="156" t="s">
        <v>22</v>
      </c>
      <c r="T7" s="156" t="s">
        <v>22</v>
      </c>
      <c r="U7" s="156" t="s">
        <v>24</v>
      </c>
      <c r="V7" s="156" t="s">
        <v>29</v>
      </c>
      <c r="W7" s="156" t="s">
        <v>86</v>
      </c>
      <c r="X7" s="156" t="s">
        <v>89</v>
      </c>
      <c r="Y7" s="156" t="s">
        <v>86</v>
      </c>
      <c r="Z7" s="156" t="s">
        <v>87</v>
      </c>
      <c r="AA7" s="156" t="s">
        <v>86</v>
      </c>
      <c r="AB7" s="156" t="s">
        <v>89</v>
      </c>
      <c r="AC7" s="156" t="s">
        <v>86</v>
      </c>
      <c r="AD7" s="218"/>
      <c r="AE7" s="259" t="s">
        <v>86</v>
      </c>
      <c r="AF7" s="218" t="s">
        <v>87</v>
      </c>
      <c r="AG7" s="262" t="s">
        <v>86</v>
      </c>
      <c r="AH7" s="261" t="s">
        <v>86</v>
      </c>
      <c r="AI7" s="218" t="s">
        <v>29</v>
      </c>
      <c r="AJ7" s="248" t="s">
        <v>86</v>
      </c>
      <c r="AK7" s="156" t="s">
        <v>86</v>
      </c>
      <c r="AL7" s="156" t="s">
        <v>86</v>
      </c>
      <c r="AM7" s="156" t="s">
        <v>86</v>
      </c>
      <c r="AN7" s="156" t="s">
        <v>24</v>
      </c>
      <c r="AO7" s="156" t="s">
        <v>24</v>
      </c>
      <c r="AP7" s="156" t="s">
        <v>24</v>
      </c>
      <c r="AQ7" s="156" t="s">
        <v>24</v>
      </c>
      <c r="AR7" s="156" t="s">
        <v>29</v>
      </c>
      <c r="AS7" s="156" t="s">
        <v>29</v>
      </c>
      <c r="AT7" s="156" t="s">
        <v>29</v>
      </c>
      <c r="AU7" s="218" t="s">
        <v>29</v>
      </c>
      <c r="AV7" s="263" t="s">
        <v>257</v>
      </c>
      <c r="AW7" s="293" t="s">
        <v>314</v>
      </c>
      <c r="AX7" s="229"/>
      <c r="AY7" s="49"/>
      <c r="AZ7" s="49"/>
      <c r="BA7" s="49"/>
      <c r="BB7" s="49"/>
      <c r="BC7" s="49"/>
      <c r="BD7" s="49"/>
      <c r="BE7" s="49"/>
      <c r="BF7" s="49"/>
      <c r="BG7" s="49"/>
      <c r="BH7" s="49"/>
      <c r="BI7" s="49"/>
      <c r="BJ7" s="49"/>
    </row>
    <row r="8" spans="1:62" ht="15" x14ac:dyDescent="0.35">
      <c r="A8" s="152"/>
      <c r="B8" s="127" t="s">
        <v>102</v>
      </c>
      <c r="C8" s="123">
        <v>16.2</v>
      </c>
      <c r="D8" s="121" t="s">
        <v>92</v>
      </c>
      <c r="E8" s="131"/>
      <c r="F8" s="131"/>
      <c r="G8" s="158"/>
      <c r="H8" s="149" t="s">
        <v>178</v>
      </c>
      <c r="I8" s="50">
        <v>0</v>
      </c>
      <c r="J8" s="177">
        <v>0</v>
      </c>
      <c r="K8" s="177">
        <v>0</v>
      </c>
      <c r="L8" s="177" t="s">
        <v>111</v>
      </c>
      <c r="M8" s="55"/>
      <c r="N8" s="55"/>
      <c r="O8" s="55"/>
      <c r="P8" s="56"/>
      <c r="Q8" s="172" t="s">
        <v>243</v>
      </c>
      <c r="R8" s="165"/>
      <c r="S8" s="166"/>
      <c r="T8" s="166"/>
      <c r="U8" s="166">
        <v>49.999375343322754</v>
      </c>
      <c r="V8" s="166">
        <v>29.649629578590392</v>
      </c>
      <c r="W8" s="166">
        <v>2.1401140009073916</v>
      </c>
      <c r="X8" s="167">
        <v>273.2438317095843</v>
      </c>
      <c r="Y8" s="167">
        <v>1830.2240480611354</v>
      </c>
      <c r="Z8" s="168"/>
      <c r="AA8" s="166">
        <v>2.1401140009073916</v>
      </c>
      <c r="AB8" s="167">
        <v>273.2438317095843</v>
      </c>
      <c r="AC8" s="166"/>
      <c r="AD8" s="219"/>
      <c r="AE8" s="225"/>
      <c r="AF8" s="166"/>
      <c r="AG8" s="166"/>
      <c r="AH8" s="166"/>
      <c r="AI8" s="245"/>
      <c r="AJ8" s="249"/>
      <c r="AK8" s="166"/>
      <c r="AL8" s="166"/>
      <c r="AM8" s="166"/>
      <c r="AN8" s="166"/>
      <c r="AO8" s="166"/>
      <c r="AP8" s="166"/>
      <c r="AQ8" s="166"/>
      <c r="AR8" s="166"/>
      <c r="AS8" s="166"/>
      <c r="AT8" s="166"/>
      <c r="AU8" s="245"/>
      <c r="AV8" s="264">
        <v>0.37698193996936291</v>
      </c>
      <c r="AW8" s="294"/>
      <c r="AX8" s="299" t="s">
        <v>245</v>
      </c>
      <c r="AY8" s="49"/>
      <c r="AZ8" s="257"/>
      <c r="BA8" s="258"/>
      <c r="BB8" s="49"/>
      <c r="BC8" s="258"/>
      <c r="BD8" s="49"/>
      <c r="BE8" s="49"/>
      <c r="BF8" s="49"/>
      <c r="BG8" s="49"/>
      <c r="BH8" s="49"/>
      <c r="BI8" s="49"/>
      <c r="BJ8" s="49"/>
    </row>
    <row r="9" spans="1:62" ht="15" x14ac:dyDescent="0.35">
      <c r="A9" s="152"/>
      <c r="B9" s="128" t="s">
        <v>103</v>
      </c>
      <c r="C9" s="426">
        <v>132.63069139966274</v>
      </c>
      <c r="D9" s="121" t="s">
        <v>94</v>
      </c>
      <c r="E9" s="131"/>
      <c r="F9" s="131"/>
      <c r="G9" s="157"/>
      <c r="H9" s="149" t="s">
        <v>179</v>
      </c>
      <c r="I9" s="50">
        <v>0</v>
      </c>
      <c r="J9" s="177">
        <v>0</v>
      </c>
      <c r="K9" s="177" t="s">
        <v>110</v>
      </c>
      <c r="L9" s="177" t="s">
        <v>111</v>
      </c>
      <c r="M9" s="55"/>
      <c r="N9" s="55"/>
      <c r="O9" s="55"/>
      <c r="P9" s="56"/>
      <c r="Q9" s="173" t="s">
        <v>244</v>
      </c>
      <c r="R9" s="169"/>
      <c r="S9" s="166"/>
      <c r="T9" s="166">
        <v>28.61321311761056</v>
      </c>
      <c r="U9" s="166">
        <v>84.525971412658691</v>
      </c>
      <c r="V9" s="166">
        <v>50.123901047706603</v>
      </c>
      <c r="W9" s="166">
        <v>3.5030338103772576</v>
      </c>
      <c r="X9" s="167">
        <v>447.25766036289161</v>
      </c>
      <c r="Y9" s="167">
        <v>1118.5071893005829</v>
      </c>
      <c r="Z9" s="168"/>
      <c r="AA9" s="166">
        <v>3.5030338103772576</v>
      </c>
      <c r="AB9" s="167">
        <v>447.25766036289161</v>
      </c>
      <c r="AC9" s="166"/>
      <c r="AD9" s="219"/>
      <c r="AE9" s="225"/>
      <c r="AF9" s="166"/>
      <c r="AG9" s="166"/>
      <c r="AH9" s="166"/>
      <c r="AI9" s="245"/>
      <c r="AJ9" s="249"/>
      <c r="AK9" s="166"/>
      <c r="AL9" s="166"/>
      <c r="AM9" s="166"/>
      <c r="AN9" s="166"/>
      <c r="AO9" s="166"/>
      <c r="AP9" s="166"/>
      <c r="AQ9" s="166"/>
      <c r="AR9" s="166"/>
      <c r="AS9" s="166"/>
      <c r="AT9" s="166"/>
      <c r="AU9" s="245"/>
      <c r="AV9" s="264">
        <v>0.63730325553345968</v>
      </c>
      <c r="AW9" s="294"/>
      <c r="AX9" s="299" t="s">
        <v>245</v>
      </c>
      <c r="AY9" s="49"/>
      <c r="AZ9" s="257"/>
      <c r="BA9" s="258"/>
      <c r="BB9" s="49"/>
      <c r="BC9" s="258"/>
      <c r="BD9" s="49"/>
      <c r="BE9" s="49"/>
      <c r="BF9" s="49"/>
      <c r="BG9" s="49"/>
      <c r="BH9" s="49"/>
      <c r="BI9" s="49"/>
      <c r="BJ9" s="49"/>
    </row>
    <row r="10" spans="1:62" ht="15" x14ac:dyDescent="0.35">
      <c r="A10" s="152"/>
      <c r="B10" s="127" t="s">
        <v>104</v>
      </c>
      <c r="C10" s="123">
        <v>53000</v>
      </c>
      <c r="D10" s="121" t="s">
        <v>71</v>
      </c>
      <c r="E10" s="131"/>
      <c r="F10" s="131"/>
      <c r="G10" s="157"/>
      <c r="H10" s="149" t="s">
        <v>180</v>
      </c>
      <c r="I10" s="50">
        <v>50</v>
      </c>
      <c r="J10" s="177">
        <v>0</v>
      </c>
      <c r="K10" s="177">
        <v>0</v>
      </c>
      <c r="L10" s="177" t="s">
        <v>147</v>
      </c>
      <c r="M10" s="55"/>
      <c r="N10" s="55"/>
      <c r="O10" s="55"/>
      <c r="P10" s="61"/>
      <c r="Q10" s="172" t="s">
        <v>395</v>
      </c>
      <c r="R10" s="165"/>
      <c r="S10" s="166"/>
      <c r="T10" s="166"/>
      <c r="U10" s="166">
        <v>24.71988582611084</v>
      </c>
      <c r="V10" s="166">
        <v>14.658892294883728</v>
      </c>
      <c r="W10" s="166">
        <v>4.3312831013353952</v>
      </c>
      <c r="X10" s="167">
        <v>553.00623720328076</v>
      </c>
      <c r="Y10" s="167">
        <v>904.86989474590916</v>
      </c>
      <c r="Z10" s="168"/>
      <c r="AA10" s="166">
        <v>4.3312831013353952</v>
      </c>
      <c r="AB10" s="167">
        <v>553.00623720328076</v>
      </c>
      <c r="AC10" s="166"/>
      <c r="AD10" s="219"/>
      <c r="AE10" s="225"/>
      <c r="AF10" s="166"/>
      <c r="AG10" s="166"/>
      <c r="AH10" s="166"/>
      <c r="AI10" s="245"/>
      <c r="AJ10" s="249"/>
      <c r="AK10" s="166"/>
      <c r="AL10" s="166"/>
      <c r="AM10" s="166"/>
      <c r="AN10" s="166"/>
      <c r="AO10" s="166"/>
      <c r="AP10" s="166"/>
      <c r="AQ10" s="166"/>
      <c r="AR10" s="166"/>
      <c r="AS10" s="166"/>
      <c r="AT10" s="166"/>
      <c r="AU10" s="245"/>
      <c r="AV10" s="264">
        <v>0.18638133877792407</v>
      </c>
      <c r="AW10" s="294"/>
      <c r="AX10" s="299" t="s">
        <v>245</v>
      </c>
      <c r="AY10" s="49"/>
      <c r="AZ10" s="257"/>
      <c r="BA10" s="258"/>
      <c r="BB10" s="49"/>
      <c r="BC10" s="258"/>
      <c r="BD10" s="49"/>
      <c r="BE10" s="49"/>
      <c r="BF10" s="49"/>
      <c r="BG10" s="49"/>
      <c r="BH10" s="49"/>
      <c r="BI10" s="49"/>
      <c r="BJ10" s="49"/>
    </row>
    <row r="11" spans="1:62" ht="15" x14ac:dyDescent="0.35">
      <c r="A11" s="152"/>
      <c r="B11" s="127" t="s">
        <v>105</v>
      </c>
      <c r="C11" s="123">
        <v>60000</v>
      </c>
      <c r="D11" s="121" t="s">
        <v>72</v>
      </c>
      <c r="E11" s="132"/>
      <c r="F11" s="132"/>
      <c r="G11" s="159">
        <v>1</v>
      </c>
      <c r="H11" s="202" t="s">
        <v>325</v>
      </c>
      <c r="I11" s="44">
        <v>0</v>
      </c>
      <c r="J11" s="178" t="s">
        <v>149</v>
      </c>
      <c r="K11" s="178" t="s">
        <v>326</v>
      </c>
      <c r="L11" s="179" t="s">
        <v>111</v>
      </c>
      <c r="M11" s="55"/>
      <c r="N11" s="55"/>
      <c r="O11" s="55"/>
      <c r="P11" s="56"/>
      <c r="Q11" s="174" t="s">
        <v>401</v>
      </c>
      <c r="R11" s="162">
        <v>824</v>
      </c>
      <c r="S11" s="105">
        <v>13.0604</v>
      </c>
      <c r="T11" s="210"/>
      <c r="U11" s="106">
        <v>56.253033638000488</v>
      </c>
      <c r="V11" s="106">
        <v>33.358048947334289</v>
      </c>
      <c r="W11" s="106">
        <v>2.4435273154043919</v>
      </c>
      <c r="X11" s="110">
        <v>311.98280384364546</v>
      </c>
      <c r="Y11" s="110">
        <v>1603.0595232664009</v>
      </c>
      <c r="Z11" s="108">
        <v>38.875707196060318</v>
      </c>
      <c r="AA11" s="106">
        <v>1.9023096878351635</v>
      </c>
      <c r="AB11" s="110">
        <v>242.88163526894107</v>
      </c>
      <c r="AC11" s="106">
        <v>1.5336373732717512</v>
      </c>
      <c r="AD11" s="220" t="s">
        <v>337</v>
      </c>
      <c r="AE11" s="226"/>
      <c r="AF11" s="106"/>
      <c r="AG11" s="106"/>
      <c r="AH11" s="106"/>
      <c r="AI11" s="246"/>
      <c r="AJ11" s="250"/>
      <c r="AK11" s="106"/>
      <c r="AL11" s="106"/>
      <c r="AM11" s="106"/>
      <c r="AN11" s="106"/>
      <c r="AO11" s="106"/>
      <c r="AP11" s="106"/>
      <c r="AQ11" s="106"/>
      <c r="AR11" s="106"/>
      <c r="AS11" s="106"/>
      <c r="AT11" s="106"/>
      <c r="AU11" s="246"/>
      <c r="AV11" s="265">
        <v>0.4241328537486877</v>
      </c>
      <c r="AW11" s="295"/>
      <c r="AX11" s="300" t="s">
        <v>245</v>
      </c>
      <c r="AY11" s="49"/>
      <c r="AZ11" s="257"/>
      <c r="BA11" s="258"/>
      <c r="BB11" s="49"/>
      <c r="BC11" s="258"/>
      <c r="BD11" s="49"/>
      <c r="BE11" s="49"/>
      <c r="BF11" s="49"/>
      <c r="BG11" s="49"/>
      <c r="BH11" s="49"/>
      <c r="BI11" s="49"/>
      <c r="BJ11" s="49"/>
    </row>
    <row r="12" spans="1:62" ht="15" x14ac:dyDescent="0.35">
      <c r="A12" s="152"/>
      <c r="B12" s="128" t="s">
        <v>106</v>
      </c>
      <c r="C12" s="123">
        <v>100</v>
      </c>
      <c r="D12" s="121" t="s">
        <v>66</v>
      </c>
      <c r="E12" s="132"/>
      <c r="F12" s="132"/>
      <c r="G12" s="159">
        <v>2</v>
      </c>
      <c r="H12" s="203" t="s">
        <v>327</v>
      </c>
      <c r="I12" s="141">
        <v>0</v>
      </c>
      <c r="J12" s="180" t="s">
        <v>326</v>
      </c>
      <c r="K12" s="180" t="s">
        <v>110</v>
      </c>
      <c r="L12" s="180" t="s">
        <v>111</v>
      </c>
      <c r="M12" s="55"/>
      <c r="N12" s="55"/>
      <c r="O12" s="55"/>
      <c r="P12" s="56"/>
      <c r="Q12" s="175" t="s">
        <v>244</v>
      </c>
      <c r="R12" s="163"/>
      <c r="S12" s="107"/>
      <c r="T12" s="211">
        <v>28.61321311761056</v>
      </c>
      <c r="U12" s="107">
        <v>84.525971412658691</v>
      </c>
      <c r="V12" s="107">
        <v>50.123901047706603</v>
      </c>
      <c r="W12" s="107">
        <v>3.5030338103772576</v>
      </c>
      <c r="X12" s="111">
        <v>447.25766036289161</v>
      </c>
      <c r="Y12" s="111">
        <v>1118.5071893005829</v>
      </c>
      <c r="Z12" s="109"/>
      <c r="AA12" s="107">
        <v>3.5030338103772576</v>
      </c>
      <c r="AB12" s="111">
        <v>447.25766036289161</v>
      </c>
      <c r="AC12" s="107"/>
      <c r="AD12" s="221"/>
      <c r="AE12" s="227"/>
      <c r="AF12" s="107"/>
      <c r="AG12" s="107"/>
      <c r="AH12" s="107"/>
      <c r="AI12" s="247"/>
      <c r="AJ12" s="251"/>
      <c r="AK12" s="107"/>
      <c r="AL12" s="107"/>
      <c r="AM12" s="107"/>
      <c r="AN12" s="107"/>
      <c r="AO12" s="107"/>
      <c r="AP12" s="107"/>
      <c r="AQ12" s="107"/>
      <c r="AR12" s="107"/>
      <c r="AS12" s="107"/>
      <c r="AT12" s="107"/>
      <c r="AU12" s="247"/>
      <c r="AV12" s="266">
        <v>0.63730325553345968</v>
      </c>
      <c r="AW12" s="296"/>
      <c r="AX12" s="301" t="s">
        <v>245</v>
      </c>
      <c r="AY12" s="49"/>
      <c r="AZ12" s="257"/>
      <c r="BA12" s="258"/>
      <c r="BB12" s="49"/>
      <c r="BC12" s="258"/>
      <c r="BD12" s="49"/>
      <c r="BE12" s="49"/>
      <c r="BF12" s="49"/>
      <c r="BG12" s="49"/>
      <c r="BH12" s="49"/>
      <c r="BI12" s="49"/>
      <c r="BJ12" s="49"/>
    </row>
    <row r="13" spans="1:62" ht="15" x14ac:dyDescent="0.35">
      <c r="A13" s="152"/>
      <c r="B13" s="127" t="s">
        <v>67</v>
      </c>
      <c r="C13" s="123">
        <v>140</v>
      </c>
      <c r="D13" s="121" t="s">
        <v>97</v>
      </c>
      <c r="E13" s="132"/>
      <c r="F13" s="132"/>
      <c r="G13" s="159">
        <v>3</v>
      </c>
      <c r="H13" s="202" t="s">
        <v>328</v>
      </c>
      <c r="I13" s="44">
        <v>0</v>
      </c>
      <c r="J13" s="178" t="s">
        <v>110</v>
      </c>
      <c r="K13" s="178" t="s">
        <v>110</v>
      </c>
      <c r="L13" s="179" t="s">
        <v>111</v>
      </c>
      <c r="M13" s="57"/>
      <c r="N13" s="57"/>
      <c r="O13" s="57"/>
      <c r="P13" s="56"/>
      <c r="Q13" s="174" t="s">
        <v>338</v>
      </c>
      <c r="R13" s="162">
        <v>500</v>
      </c>
      <c r="S13" s="105">
        <v>16.925000000000001</v>
      </c>
      <c r="T13" s="212">
        <v>25.294197726</v>
      </c>
      <c r="U13" s="106">
        <v>84.525971412658691</v>
      </c>
      <c r="V13" s="106">
        <v>50.123901047706603</v>
      </c>
      <c r="W13" s="106">
        <v>3.5030338103772576</v>
      </c>
      <c r="X13" s="110">
        <v>447.25766036289161</v>
      </c>
      <c r="Y13" s="110">
        <v>1118.5071893005829</v>
      </c>
      <c r="Z13" s="108">
        <v>22.189994082287392</v>
      </c>
      <c r="AA13" s="106">
        <v>3.2435874925365642</v>
      </c>
      <c r="AB13" s="110">
        <v>414.1322726593973</v>
      </c>
      <c r="AC13" s="106">
        <v>1.3230215625251815</v>
      </c>
      <c r="AD13" s="220" t="s">
        <v>337</v>
      </c>
      <c r="AE13" s="226"/>
      <c r="AF13" s="106"/>
      <c r="AG13" s="106"/>
      <c r="AH13" s="106"/>
      <c r="AI13" s="246"/>
      <c r="AJ13" s="250"/>
      <c r="AK13" s="106"/>
      <c r="AL13" s="106"/>
      <c r="AM13" s="106"/>
      <c r="AN13" s="106"/>
      <c r="AO13" s="106"/>
      <c r="AP13" s="106"/>
      <c r="AQ13" s="106"/>
      <c r="AR13" s="106"/>
      <c r="AS13" s="106"/>
      <c r="AT13" s="106"/>
      <c r="AU13" s="246"/>
      <c r="AV13" s="265">
        <v>0.63730325553345968</v>
      </c>
      <c r="AW13" s="295"/>
      <c r="AX13" s="300" t="s">
        <v>245</v>
      </c>
      <c r="AY13" s="49"/>
      <c r="AZ13" s="257"/>
      <c r="BA13" s="258"/>
      <c r="BB13" s="49"/>
      <c r="BC13" s="258"/>
      <c r="BD13" s="49"/>
      <c r="BE13" s="49"/>
      <c r="BF13" s="49"/>
      <c r="BG13" s="49"/>
      <c r="BH13" s="49"/>
      <c r="BI13" s="49"/>
      <c r="BJ13" s="49"/>
    </row>
    <row r="14" spans="1:62" ht="15" x14ac:dyDescent="0.35">
      <c r="A14" s="152"/>
      <c r="B14" s="128" t="s">
        <v>107</v>
      </c>
      <c r="C14" s="123">
        <v>0.4</v>
      </c>
      <c r="D14" s="121" t="s">
        <v>68</v>
      </c>
      <c r="E14" s="132"/>
      <c r="F14" s="132"/>
      <c r="G14" s="159">
        <v>4</v>
      </c>
      <c r="H14" s="203" t="s">
        <v>329</v>
      </c>
      <c r="I14" s="141">
        <v>-40</v>
      </c>
      <c r="J14" s="180">
        <v>0</v>
      </c>
      <c r="K14" s="180">
        <v>0</v>
      </c>
      <c r="L14" s="180" t="s">
        <v>111</v>
      </c>
      <c r="M14" s="57"/>
      <c r="N14" s="57"/>
      <c r="O14" s="57"/>
      <c r="P14" s="56"/>
      <c r="Q14" s="175" t="s">
        <v>408</v>
      </c>
      <c r="R14" s="163"/>
      <c r="S14" s="107"/>
      <c r="T14" s="211"/>
      <c r="U14" s="107">
        <v>85.229079246520996</v>
      </c>
      <c r="V14" s="107">
        <v>50.540843993186954</v>
      </c>
      <c r="W14" s="107">
        <v>1.2553308243498116</v>
      </c>
      <c r="X14" s="111">
        <v>160.27716484405013</v>
      </c>
      <c r="Y14" s="111">
        <v>3119.8051847646266</v>
      </c>
      <c r="Z14" s="109"/>
      <c r="AA14" s="107">
        <v>1.2553308243498116</v>
      </c>
      <c r="AB14" s="111">
        <v>160.27716484405013</v>
      </c>
      <c r="AC14" s="107"/>
      <c r="AD14" s="221"/>
      <c r="AE14" s="227"/>
      <c r="AF14" s="107"/>
      <c r="AG14" s="107"/>
      <c r="AH14" s="107"/>
      <c r="AI14" s="247"/>
      <c r="AJ14" s="251"/>
      <c r="AK14" s="107"/>
      <c r="AL14" s="107"/>
      <c r="AM14" s="107"/>
      <c r="AN14" s="107"/>
      <c r="AO14" s="107"/>
      <c r="AP14" s="107"/>
      <c r="AQ14" s="107"/>
      <c r="AR14" s="107"/>
      <c r="AS14" s="107"/>
      <c r="AT14" s="107"/>
      <c r="AU14" s="247"/>
      <c r="AV14" s="266">
        <v>0.64260450086696697</v>
      </c>
      <c r="AW14" s="296"/>
      <c r="AX14" s="301" t="s">
        <v>245</v>
      </c>
      <c r="AY14" s="49"/>
      <c r="AZ14" s="257"/>
      <c r="BA14" s="258"/>
      <c r="BB14" s="49"/>
      <c r="BC14" s="258"/>
      <c r="BD14" s="49"/>
      <c r="BE14" s="49"/>
      <c r="BF14" s="49"/>
      <c r="BG14" s="49"/>
      <c r="BH14" s="49"/>
      <c r="BI14" s="49"/>
      <c r="BJ14" s="49"/>
    </row>
    <row r="15" spans="1:62" ht="15" x14ac:dyDescent="0.35">
      <c r="A15" s="152"/>
      <c r="B15" s="128" t="s">
        <v>108</v>
      </c>
      <c r="C15" s="124">
        <v>17.391304347826086</v>
      </c>
      <c r="D15" s="121" t="s">
        <v>69</v>
      </c>
      <c r="E15" s="132"/>
      <c r="F15" s="132"/>
      <c r="G15" s="159">
        <v>5</v>
      </c>
      <c r="H15" s="202" t="s">
        <v>330</v>
      </c>
      <c r="I15" s="44">
        <v>-20</v>
      </c>
      <c r="J15" s="178" t="s">
        <v>110</v>
      </c>
      <c r="K15" s="178">
        <v>0</v>
      </c>
      <c r="L15" s="179" t="s">
        <v>111</v>
      </c>
      <c r="M15" s="57"/>
      <c r="N15" s="57"/>
      <c r="O15" s="57"/>
      <c r="P15" s="56"/>
      <c r="Q15" s="174" t="s">
        <v>409</v>
      </c>
      <c r="R15" s="162">
        <v>500</v>
      </c>
      <c r="S15" s="105">
        <v>7.9249999999999998</v>
      </c>
      <c r="T15" s="212"/>
      <c r="U15" s="106">
        <v>67.693303108215332</v>
      </c>
      <c r="V15" s="106">
        <v>40.142128743171689</v>
      </c>
      <c r="W15" s="106">
        <v>1.7596208159653353</v>
      </c>
      <c r="X15" s="110">
        <v>224.66351507744716</v>
      </c>
      <c r="Y15" s="110">
        <v>2225.8437158387437</v>
      </c>
      <c r="Z15" s="108">
        <v>26.067788154408284</v>
      </c>
      <c r="AA15" s="106">
        <v>1.5806232788662415</v>
      </c>
      <c r="AB15" s="110">
        <v>201.80960501340508</v>
      </c>
      <c r="AC15" s="106">
        <v>0.77323700524783734</v>
      </c>
      <c r="AD15" s="220" t="s">
        <v>337</v>
      </c>
      <c r="AE15" s="226"/>
      <c r="AF15" s="106"/>
      <c r="AG15" s="106"/>
      <c r="AH15" s="106"/>
      <c r="AI15" s="246"/>
      <c r="AJ15" s="250"/>
      <c r="AK15" s="106"/>
      <c r="AL15" s="106"/>
      <c r="AM15" s="106"/>
      <c r="AN15" s="106"/>
      <c r="AO15" s="106"/>
      <c r="AP15" s="106"/>
      <c r="AQ15" s="106"/>
      <c r="AR15" s="106"/>
      <c r="AS15" s="106"/>
      <c r="AT15" s="106"/>
      <c r="AU15" s="246"/>
      <c r="AV15" s="265">
        <v>0.51038943093670297</v>
      </c>
      <c r="AW15" s="295"/>
      <c r="AX15" s="300" t="s">
        <v>245</v>
      </c>
      <c r="AY15" s="49"/>
      <c r="AZ15" s="257"/>
      <c r="BA15" s="258"/>
      <c r="BB15" s="49"/>
      <c r="BC15" s="258"/>
      <c r="BD15" s="49"/>
      <c r="BE15" s="49"/>
      <c r="BF15" s="49"/>
      <c r="BG15" s="49"/>
      <c r="BH15" s="49"/>
      <c r="BI15" s="49"/>
      <c r="BJ15" s="49"/>
    </row>
    <row r="16" spans="1:62" ht="15" x14ac:dyDescent="0.35">
      <c r="A16" s="152"/>
      <c r="B16" s="128" t="s">
        <v>109</v>
      </c>
      <c r="C16" s="123">
        <v>23</v>
      </c>
      <c r="D16" s="121" t="s">
        <v>70</v>
      </c>
      <c r="E16" s="132"/>
      <c r="F16" s="132"/>
      <c r="G16" s="159">
        <v>6</v>
      </c>
      <c r="H16" s="203" t="s">
        <v>411</v>
      </c>
      <c r="I16" s="141">
        <v>-20</v>
      </c>
      <c r="J16" s="180" t="s">
        <v>326</v>
      </c>
      <c r="K16" s="180" t="s">
        <v>326</v>
      </c>
      <c r="L16" s="180" t="s">
        <v>111</v>
      </c>
      <c r="M16" s="57"/>
      <c r="N16" s="57"/>
      <c r="O16" s="57"/>
      <c r="P16" s="56"/>
      <c r="Q16" s="175" t="s">
        <v>402</v>
      </c>
      <c r="R16" s="163"/>
      <c r="S16" s="107"/>
      <c r="T16" s="211"/>
      <c r="U16" s="107">
        <v>65.69640064239502</v>
      </c>
      <c r="V16" s="107">
        <v>38.957965580940247</v>
      </c>
      <c r="W16" s="107">
        <v>1.6286370296529111</v>
      </c>
      <c r="X16" s="111">
        <v>207.93986780974959</v>
      </c>
      <c r="Y16" s="111">
        <v>2404.8126901814967</v>
      </c>
      <c r="Z16" s="109"/>
      <c r="AA16" s="107">
        <v>1.6286370296529111</v>
      </c>
      <c r="AB16" s="111">
        <v>207.93986780974959</v>
      </c>
      <c r="AC16" s="107"/>
      <c r="AD16" s="221"/>
      <c r="AE16" s="227"/>
      <c r="AF16" s="107"/>
      <c r="AG16" s="107"/>
      <c r="AH16" s="107"/>
      <c r="AI16" s="247"/>
      <c r="AJ16" s="251"/>
      <c r="AK16" s="107"/>
      <c r="AL16" s="107"/>
      <c r="AM16" s="107"/>
      <c r="AN16" s="107"/>
      <c r="AO16" s="107"/>
      <c r="AP16" s="107"/>
      <c r="AQ16" s="107"/>
      <c r="AR16" s="107"/>
      <c r="AS16" s="107"/>
      <c r="AT16" s="107"/>
      <c r="AU16" s="247"/>
      <c r="AV16" s="266">
        <v>0.49533331952880161</v>
      </c>
      <c r="AW16" s="296"/>
      <c r="AX16" s="301" t="s">
        <v>245</v>
      </c>
      <c r="AY16" s="49"/>
      <c r="AZ16" s="257"/>
      <c r="BA16" s="258"/>
      <c r="BB16" s="49"/>
      <c r="BC16" s="258"/>
      <c r="BD16" s="49"/>
      <c r="BE16" s="49"/>
      <c r="BF16" s="49"/>
      <c r="BG16" s="49"/>
      <c r="BH16" s="49"/>
      <c r="BI16" s="49"/>
      <c r="BJ16" s="49"/>
    </row>
    <row r="17" spans="1:62" x14ac:dyDescent="0.3">
      <c r="A17" s="118" t="s">
        <v>305</v>
      </c>
      <c r="B17" s="115"/>
      <c r="C17" s="114"/>
      <c r="D17" s="116"/>
      <c r="E17" s="117"/>
      <c r="F17" s="117"/>
      <c r="G17" s="159">
        <v>7</v>
      </c>
      <c r="H17" s="202"/>
      <c r="I17" s="44"/>
      <c r="J17" s="178"/>
      <c r="K17" s="178"/>
      <c r="L17" s="179"/>
      <c r="M17" s="57"/>
      <c r="N17" s="57"/>
      <c r="O17" s="57"/>
      <c r="P17" s="56"/>
      <c r="Q17" s="174"/>
      <c r="R17" s="162"/>
      <c r="S17" s="105"/>
      <c r="T17" s="212"/>
      <c r="U17" s="106"/>
      <c r="V17" s="106"/>
      <c r="W17" s="106"/>
      <c r="X17" s="110"/>
      <c r="Y17" s="110"/>
      <c r="Z17" s="108"/>
      <c r="AA17" s="106"/>
      <c r="AB17" s="110"/>
      <c r="AC17" s="106"/>
      <c r="AD17" s="220"/>
      <c r="AE17" s="226"/>
      <c r="AF17" s="106"/>
      <c r="AG17" s="106"/>
      <c r="AH17" s="106"/>
      <c r="AI17" s="246"/>
      <c r="AJ17" s="250"/>
      <c r="AK17" s="106"/>
      <c r="AL17" s="106"/>
      <c r="AM17" s="106"/>
      <c r="AN17" s="106"/>
      <c r="AO17" s="106"/>
      <c r="AP17" s="106"/>
      <c r="AQ17" s="106"/>
      <c r="AR17" s="106"/>
      <c r="AS17" s="106"/>
      <c r="AT17" s="106"/>
      <c r="AU17" s="246"/>
      <c r="AV17" s="265"/>
      <c r="AW17" s="295"/>
      <c r="AX17" s="300"/>
      <c r="AY17" s="49"/>
      <c r="AZ17" s="257"/>
      <c r="BA17" s="258"/>
      <c r="BB17" s="49"/>
      <c r="BC17" s="258"/>
      <c r="BD17" s="49"/>
      <c r="BE17" s="49"/>
      <c r="BF17" s="49"/>
      <c r="BG17" s="49"/>
      <c r="BH17" s="49"/>
      <c r="BI17" s="49"/>
      <c r="BJ17" s="49"/>
    </row>
    <row r="18" spans="1:62" ht="15.6" x14ac:dyDescent="0.35">
      <c r="A18" s="152"/>
      <c r="B18" s="119" t="s">
        <v>81</v>
      </c>
      <c r="C18" s="275">
        <v>177</v>
      </c>
      <c r="D18" s="136" t="s">
        <v>78</v>
      </c>
      <c r="E18" s="131"/>
      <c r="F18" s="131"/>
      <c r="G18" s="159">
        <v>8</v>
      </c>
      <c r="H18" s="203"/>
      <c r="I18" s="141"/>
      <c r="J18" s="180"/>
      <c r="K18" s="180"/>
      <c r="L18" s="180"/>
      <c r="M18" s="57"/>
      <c r="N18" s="57"/>
      <c r="O18" s="57"/>
      <c r="P18" s="56"/>
      <c r="Q18" s="175"/>
      <c r="R18" s="163"/>
      <c r="S18" s="107"/>
      <c r="T18" s="211"/>
      <c r="U18" s="107"/>
      <c r="V18" s="107"/>
      <c r="W18" s="107"/>
      <c r="X18" s="111"/>
      <c r="Y18" s="111"/>
      <c r="Z18" s="109"/>
      <c r="AA18" s="107"/>
      <c r="AB18" s="111"/>
      <c r="AC18" s="107"/>
      <c r="AD18" s="221"/>
      <c r="AE18" s="227"/>
      <c r="AF18" s="107"/>
      <c r="AG18" s="107"/>
      <c r="AH18" s="107"/>
      <c r="AI18" s="247"/>
      <c r="AJ18" s="251"/>
      <c r="AK18" s="107"/>
      <c r="AL18" s="107"/>
      <c r="AM18" s="107"/>
      <c r="AN18" s="107"/>
      <c r="AO18" s="107"/>
      <c r="AP18" s="107"/>
      <c r="AQ18" s="107"/>
      <c r="AR18" s="107"/>
      <c r="AS18" s="107"/>
      <c r="AT18" s="107"/>
      <c r="AU18" s="247"/>
      <c r="AV18" s="266"/>
      <c r="AW18" s="296"/>
      <c r="AX18" s="301"/>
      <c r="AY18" s="49"/>
      <c r="AZ18" s="257"/>
      <c r="BA18" s="258"/>
      <c r="BB18" s="49"/>
      <c r="BC18" s="258"/>
      <c r="BD18" s="49"/>
      <c r="BE18" s="49"/>
      <c r="BF18" s="49"/>
      <c r="BG18" s="49"/>
      <c r="BH18" s="49"/>
      <c r="BI18" s="49"/>
      <c r="BJ18" s="49"/>
    </row>
    <row r="19" spans="1:62" ht="15.6" x14ac:dyDescent="0.35">
      <c r="A19" s="152"/>
      <c r="B19" s="135" t="s">
        <v>248</v>
      </c>
      <c r="C19" s="275">
        <v>50</v>
      </c>
      <c r="D19" s="136" t="s">
        <v>77</v>
      </c>
      <c r="E19" s="131"/>
      <c r="F19" s="131"/>
      <c r="G19" s="159">
        <v>9</v>
      </c>
      <c r="H19" s="202"/>
      <c r="I19" s="44"/>
      <c r="J19" s="178"/>
      <c r="K19" s="178"/>
      <c r="L19" s="179"/>
      <c r="M19" s="57"/>
      <c r="N19" s="57"/>
      <c r="O19" s="57"/>
      <c r="P19" s="56"/>
      <c r="Q19" s="174"/>
      <c r="R19" s="162"/>
      <c r="S19" s="106"/>
      <c r="T19" s="106"/>
      <c r="U19" s="106"/>
      <c r="V19" s="106"/>
      <c r="W19" s="106"/>
      <c r="X19" s="110"/>
      <c r="Y19" s="110"/>
      <c r="Z19" s="108"/>
      <c r="AA19" s="106"/>
      <c r="AB19" s="110"/>
      <c r="AC19" s="106"/>
      <c r="AD19" s="220"/>
      <c r="AE19" s="226"/>
      <c r="AF19" s="106"/>
      <c r="AG19" s="106"/>
      <c r="AH19" s="106"/>
      <c r="AI19" s="246"/>
      <c r="AJ19" s="250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246"/>
      <c r="AV19" s="265"/>
      <c r="AW19" s="295"/>
      <c r="AX19" s="300"/>
      <c r="AY19" s="49"/>
      <c r="AZ19" s="257"/>
      <c r="BA19" s="258"/>
      <c r="BB19" s="49"/>
      <c r="BC19" s="258"/>
      <c r="BD19" s="49"/>
      <c r="BE19" s="49"/>
      <c r="BF19" s="49"/>
      <c r="BG19" s="49"/>
      <c r="BH19" s="49"/>
      <c r="BI19" s="49"/>
      <c r="BJ19" s="49"/>
    </row>
    <row r="20" spans="1:62" x14ac:dyDescent="0.3">
      <c r="A20" s="152"/>
      <c r="B20" s="119" t="s">
        <v>96</v>
      </c>
      <c r="C20" s="275">
        <v>14</v>
      </c>
      <c r="D20" s="136" t="s">
        <v>80</v>
      </c>
      <c r="E20" s="131"/>
      <c r="F20" s="131"/>
      <c r="G20" s="159">
        <v>10</v>
      </c>
      <c r="H20" s="203"/>
      <c r="I20" s="141"/>
      <c r="J20" s="180"/>
      <c r="K20" s="180"/>
      <c r="L20" s="180"/>
      <c r="M20" s="57"/>
      <c r="N20" s="57"/>
      <c r="O20" s="57"/>
      <c r="P20" s="56"/>
      <c r="Q20" s="175"/>
      <c r="R20" s="163"/>
      <c r="S20" s="107"/>
      <c r="T20" s="107"/>
      <c r="U20" s="107"/>
      <c r="V20" s="107"/>
      <c r="W20" s="107"/>
      <c r="X20" s="111"/>
      <c r="Y20" s="111"/>
      <c r="Z20" s="109"/>
      <c r="AA20" s="107"/>
      <c r="AB20" s="111"/>
      <c r="AC20" s="107"/>
      <c r="AD20" s="221"/>
      <c r="AE20" s="227"/>
      <c r="AF20" s="107"/>
      <c r="AG20" s="107"/>
      <c r="AH20" s="107"/>
      <c r="AI20" s="247"/>
      <c r="AJ20" s="251"/>
      <c r="AK20" s="107"/>
      <c r="AL20" s="107"/>
      <c r="AM20" s="107"/>
      <c r="AN20" s="107"/>
      <c r="AO20" s="107"/>
      <c r="AP20" s="107"/>
      <c r="AQ20" s="107"/>
      <c r="AR20" s="107"/>
      <c r="AS20" s="107"/>
      <c r="AT20" s="107"/>
      <c r="AU20" s="247"/>
      <c r="AV20" s="266"/>
      <c r="AW20" s="296"/>
      <c r="AX20" s="301"/>
      <c r="AY20" s="49"/>
      <c r="AZ20" s="257"/>
      <c r="BA20" s="258"/>
      <c r="BB20" s="49"/>
      <c r="BC20" s="258"/>
      <c r="BD20" s="49"/>
      <c r="BE20" s="49"/>
      <c r="BF20" s="49"/>
      <c r="BG20" s="49"/>
      <c r="BH20" s="49"/>
      <c r="BI20" s="49"/>
      <c r="BJ20" s="49"/>
    </row>
    <row r="21" spans="1:62" x14ac:dyDescent="0.3">
      <c r="A21" s="138"/>
      <c r="B21" s="138"/>
      <c r="C21" s="138"/>
      <c r="D21" s="138"/>
      <c r="E21" s="138"/>
      <c r="F21" s="138"/>
      <c r="G21" s="159">
        <v>11</v>
      </c>
      <c r="H21" s="202"/>
      <c r="I21" s="44"/>
      <c r="J21" s="178"/>
      <c r="K21" s="178"/>
      <c r="L21" s="179"/>
      <c r="M21" s="57"/>
      <c r="N21" s="57"/>
      <c r="O21" s="57"/>
      <c r="P21" s="56"/>
      <c r="Q21" s="174"/>
      <c r="R21" s="162"/>
      <c r="S21" s="105"/>
      <c r="T21" s="106"/>
      <c r="U21" s="106"/>
      <c r="V21" s="106"/>
      <c r="W21" s="106"/>
      <c r="X21" s="110"/>
      <c r="Y21" s="110"/>
      <c r="Z21" s="108"/>
      <c r="AA21" s="106"/>
      <c r="AB21" s="110"/>
      <c r="AC21" s="106"/>
      <c r="AD21" s="220"/>
      <c r="AE21" s="226"/>
      <c r="AF21" s="106"/>
      <c r="AG21" s="106"/>
      <c r="AH21" s="106"/>
      <c r="AI21" s="246"/>
      <c r="AJ21" s="250"/>
      <c r="AK21" s="106"/>
      <c r="AL21" s="106"/>
      <c r="AM21" s="106"/>
      <c r="AN21" s="106"/>
      <c r="AO21" s="106"/>
      <c r="AP21" s="106"/>
      <c r="AQ21" s="106"/>
      <c r="AR21" s="106"/>
      <c r="AS21" s="106"/>
      <c r="AT21" s="106"/>
      <c r="AU21" s="246"/>
      <c r="AV21" s="265"/>
      <c r="AW21" s="295"/>
      <c r="AX21" s="300"/>
      <c r="AZ21" s="253"/>
      <c r="BA21" s="254"/>
      <c r="BC21" s="254"/>
    </row>
    <row r="22" spans="1:62" x14ac:dyDescent="0.3">
      <c r="A22" s="118" t="s">
        <v>304</v>
      </c>
      <c r="B22" s="115"/>
      <c r="C22" s="115"/>
      <c r="D22" s="138"/>
      <c r="E22" s="138"/>
      <c r="F22" s="138"/>
      <c r="G22" s="159">
        <v>12</v>
      </c>
      <c r="H22" s="203"/>
      <c r="I22" s="141"/>
      <c r="J22" s="180"/>
      <c r="K22" s="180"/>
      <c r="L22" s="180"/>
      <c r="M22" s="57"/>
      <c r="N22" s="57"/>
      <c r="O22" s="57"/>
      <c r="P22" s="56"/>
      <c r="Q22" s="175"/>
      <c r="R22" s="163"/>
      <c r="S22" s="107"/>
      <c r="T22" s="107"/>
      <c r="U22" s="107"/>
      <c r="V22" s="107"/>
      <c r="W22" s="107"/>
      <c r="X22" s="111"/>
      <c r="Y22" s="111"/>
      <c r="Z22" s="109"/>
      <c r="AA22" s="107"/>
      <c r="AB22" s="111"/>
      <c r="AC22" s="107"/>
      <c r="AD22" s="221"/>
      <c r="AE22" s="227"/>
      <c r="AF22" s="107"/>
      <c r="AG22" s="107"/>
      <c r="AH22" s="107"/>
      <c r="AI22" s="247"/>
      <c r="AJ22" s="251"/>
      <c r="AK22" s="107"/>
      <c r="AL22" s="107"/>
      <c r="AM22" s="107"/>
      <c r="AN22" s="107"/>
      <c r="AO22" s="107"/>
      <c r="AP22" s="107"/>
      <c r="AQ22" s="107"/>
      <c r="AR22" s="107"/>
      <c r="AS22" s="107"/>
      <c r="AT22" s="107"/>
      <c r="AU22" s="247"/>
      <c r="AV22" s="266"/>
      <c r="AW22" s="296"/>
      <c r="AX22" s="301"/>
      <c r="AZ22" s="253"/>
      <c r="BA22" s="254"/>
      <c r="BC22" s="254"/>
    </row>
    <row r="23" spans="1:62" ht="15.6" x14ac:dyDescent="0.35">
      <c r="A23" s="152"/>
      <c r="B23" s="125" t="s">
        <v>163</v>
      </c>
      <c r="C23" s="140"/>
      <c r="D23" s="136" t="s">
        <v>155</v>
      </c>
      <c r="E23" s="131"/>
      <c r="F23" s="131"/>
      <c r="G23" s="159">
        <v>13</v>
      </c>
      <c r="H23" s="202"/>
      <c r="I23" s="44"/>
      <c r="J23" s="178"/>
      <c r="K23" s="178"/>
      <c r="L23" s="179"/>
      <c r="M23" s="57"/>
      <c r="N23" s="57"/>
      <c r="O23" s="57"/>
      <c r="P23" s="56"/>
      <c r="Q23" s="174"/>
      <c r="R23" s="162"/>
      <c r="S23" s="106"/>
      <c r="T23" s="106"/>
      <c r="U23" s="106"/>
      <c r="V23" s="106"/>
      <c r="W23" s="106"/>
      <c r="X23" s="110"/>
      <c r="Y23" s="110"/>
      <c r="Z23" s="108"/>
      <c r="AA23" s="106"/>
      <c r="AB23" s="110"/>
      <c r="AC23" s="106"/>
      <c r="AD23" s="220"/>
      <c r="AE23" s="226"/>
      <c r="AF23" s="106"/>
      <c r="AG23" s="106"/>
      <c r="AH23" s="106"/>
      <c r="AI23" s="246"/>
      <c r="AJ23" s="250"/>
      <c r="AK23" s="106"/>
      <c r="AL23" s="106"/>
      <c r="AM23" s="106"/>
      <c r="AN23" s="106"/>
      <c r="AO23" s="106"/>
      <c r="AP23" s="106"/>
      <c r="AQ23" s="106"/>
      <c r="AR23" s="106"/>
      <c r="AS23" s="106"/>
      <c r="AT23" s="106"/>
      <c r="AU23" s="246"/>
      <c r="AV23" s="265"/>
      <c r="AW23" s="295"/>
      <c r="AX23" s="300"/>
      <c r="AZ23" s="253"/>
      <c r="BA23" s="254"/>
      <c r="BC23" s="254"/>
    </row>
    <row r="24" spans="1:62" ht="15.6" x14ac:dyDescent="0.35">
      <c r="A24" s="152"/>
      <c r="B24" s="125" t="s">
        <v>164</v>
      </c>
      <c r="C24" s="140"/>
      <c r="D24" s="136" t="s">
        <v>175</v>
      </c>
      <c r="E24" s="131"/>
      <c r="F24" s="131"/>
      <c r="G24" s="159">
        <v>14</v>
      </c>
      <c r="H24" s="203"/>
      <c r="I24" s="141"/>
      <c r="J24" s="180"/>
      <c r="K24" s="180"/>
      <c r="L24" s="180"/>
      <c r="M24" s="57"/>
      <c r="N24" s="57"/>
      <c r="O24" s="57"/>
      <c r="P24" s="56"/>
      <c r="Q24" s="175"/>
      <c r="R24" s="163"/>
      <c r="S24" s="107"/>
      <c r="T24" s="107"/>
      <c r="U24" s="107"/>
      <c r="V24" s="107"/>
      <c r="W24" s="107"/>
      <c r="X24" s="111"/>
      <c r="Y24" s="111"/>
      <c r="Z24" s="109"/>
      <c r="AA24" s="107"/>
      <c r="AB24" s="111"/>
      <c r="AC24" s="107"/>
      <c r="AD24" s="221"/>
      <c r="AE24" s="227"/>
      <c r="AF24" s="107"/>
      <c r="AG24" s="107"/>
      <c r="AH24" s="107"/>
      <c r="AI24" s="247"/>
      <c r="AJ24" s="251"/>
      <c r="AK24" s="107"/>
      <c r="AL24" s="107"/>
      <c r="AM24" s="107"/>
      <c r="AN24" s="107"/>
      <c r="AO24" s="107"/>
      <c r="AP24" s="107"/>
      <c r="AQ24" s="107"/>
      <c r="AR24" s="107"/>
      <c r="AS24" s="107"/>
      <c r="AT24" s="107"/>
      <c r="AU24" s="247"/>
      <c r="AV24" s="266"/>
      <c r="AW24" s="296"/>
      <c r="AX24" s="301"/>
      <c r="AZ24" s="253"/>
      <c r="BA24" s="254"/>
      <c r="BC24" s="254"/>
    </row>
    <row r="25" spans="1:62" x14ac:dyDescent="0.3">
      <c r="A25" s="152"/>
      <c r="B25" s="135" t="s">
        <v>162</v>
      </c>
      <c r="C25" s="140"/>
      <c r="D25" s="136" t="s">
        <v>156</v>
      </c>
      <c r="E25" s="131"/>
      <c r="F25" s="131"/>
      <c r="G25" s="159">
        <v>15</v>
      </c>
      <c r="H25" s="202"/>
      <c r="I25" s="44"/>
      <c r="J25" s="178"/>
      <c r="K25" s="178"/>
      <c r="L25" s="179"/>
      <c r="M25" s="57"/>
      <c r="N25" s="57"/>
      <c r="O25" s="57"/>
      <c r="P25" s="56"/>
      <c r="Q25" s="174"/>
      <c r="R25" s="162"/>
      <c r="S25" s="106"/>
      <c r="T25" s="106"/>
      <c r="U25" s="106"/>
      <c r="V25" s="106"/>
      <c r="W25" s="106"/>
      <c r="X25" s="110"/>
      <c r="Y25" s="110"/>
      <c r="Z25" s="108"/>
      <c r="AA25" s="106"/>
      <c r="AB25" s="110"/>
      <c r="AC25" s="106"/>
      <c r="AD25" s="220"/>
      <c r="AE25" s="226"/>
      <c r="AF25" s="106"/>
      <c r="AG25" s="106"/>
      <c r="AH25" s="106"/>
      <c r="AI25" s="246"/>
      <c r="AJ25" s="250"/>
      <c r="AK25" s="106"/>
      <c r="AL25" s="106"/>
      <c r="AM25" s="106"/>
      <c r="AN25" s="106"/>
      <c r="AO25" s="106"/>
      <c r="AP25" s="106"/>
      <c r="AQ25" s="106"/>
      <c r="AR25" s="106"/>
      <c r="AS25" s="106"/>
      <c r="AT25" s="106"/>
      <c r="AU25" s="246"/>
      <c r="AV25" s="265"/>
      <c r="AW25" s="295"/>
      <c r="AX25" s="300"/>
      <c r="AZ25" s="253"/>
      <c r="BA25" s="254"/>
      <c r="BC25" s="254"/>
    </row>
    <row r="26" spans="1:62" x14ac:dyDescent="0.3">
      <c r="A26" s="152"/>
      <c r="B26" s="135" t="s">
        <v>168</v>
      </c>
      <c r="C26" s="140"/>
      <c r="D26" s="136" t="s">
        <v>153</v>
      </c>
      <c r="E26" s="131"/>
      <c r="F26" s="131"/>
      <c r="G26" s="159">
        <v>16</v>
      </c>
      <c r="H26" s="203"/>
      <c r="I26" s="141"/>
      <c r="J26" s="180"/>
      <c r="K26" s="180"/>
      <c r="L26" s="180"/>
      <c r="M26" s="57"/>
      <c r="N26" s="57"/>
      <c r="O26" s="57"/>
      <c r="P26" s="56"/>
      <c r="Q26" s="175"/>
      <c r="R26" s="163"/>
      <c r="S26" s="107"/>
      <c r="T26" s="107"/>
      <c r="U26" s="107"/>
      <c r="V26" s="107"/>
      <c r="W26" s="107"/>
      <c r="X26" s="111"/>
      <c r="Y26" s="111"/>
      <c r="Z26" s="109"/>
      <c r="AA26" s="107"/>
      <c r="AB26" s="111"/>
      <c r="AC26" s="107"/>
      <c r="AD26" s="221"/>
      <c r="AE26" s="227"/>
      <c r="AF26" s="107"/>
      <c r="AG26" s="107"/>
      <c r="AH26" s="107"/>
      <c r="AI26" s="247"/>
      <c r="AJ26" s="251"/>
      <c r="AK26" s="107"/>
      <c r="AL26" s="107"/>
      <c r="AM26" s="107"/>
      <c r="AN26" s="107"/>
      <c r="AO26" s="107"/>
      <c r="AP26" s="107"/>
      <c r="AQ26" s="107"/>
      <c r="AR26" s="107"/>
      <c r="AS26" s="107"/>
      <c r="AT26" s="107"/>
      <c r="AU26" s="247"/>
      <c r="AV26" s="266"/>
      <c r="AW26" s="296"/>
      <c r="AX26" s="301"/>
      <c r="AZ26" s="253"/>
      <c r="BA26" s="254"/>
      <c r="BC26" s="254"/>
    </row>
    <row r="27" spans="1:62" ht="15.6" x14ac:dyDescent="0.35">
      <c r="A27" s="152"/>
      <c r="B27" s="135" t="s">
        <v>201</v>
      </c>
      <c r="C27" s="140"/>
      <c r="D27" s="136" t="s">
        <v>319</v>
      </c>
      <c r="E27" s="131"/>
      <c r="F27" s="131"/>
      <c r="G27" s="159">
        <v>17</v>
      </c>
      <c r="H27" s="202"/>
      <c r="I27" s="44"/>
      <c r="J27" s="178"/>
      <c r="K27" s="178"/>
      <c r="L27" s="179"/>
      <c r="M27" s="57"/>
      <c r="N27" s="57"/>
      <c r="O27" s="57"/>
      <c r="P27" s="56"/>
      <c r="Q27" s="174"/>
      <c r="R27" s="162"/>
      <c r="S27" s="105"/>
      <c r="T27" s="106"/>
      <c r="U27" s="106"/>
      <c r="V27" s="106"/>
      <c r="W27" s="106"/>
      <c r="X27" s="110"/>
      <c r="Y27" s="110"/>
      <c r="Z27" s="108"/>
      <c r="AA27" s="106"/>
      <c r="AB27" s="110"/>
      <c r="AC27" s="106"/>
      <c r="AD27" s="220"/>
      <c r="AE27" s="226"/>
      <c r="AF27" s="106"/>
      <c r="AG27" s="106"/>
      <c r="AH27" s="106"/>
      <c r="AI27" s="246"/>
      <c r="AJ27" s="250"/>
      <c r="AK27" s="106"/>
      <c r="AL27" s="106"/>
      <c r="AM27" s="106"/>
      <c r="AN27" s="106"/>
      <c r="AO27" s="106"/>
      <c r="AP27" s="106"/>
      <c r="AQ27" s="106"/>
      <c r="AR27" s="106"/>
      <c r="AS27" s="106"/>
      <c r="AT27" s="106"/>
      <c r="AU27" s="246"/>
      <c r="AV27" s="265"/>
      <c r="AW27" s="295"/>
      <c r="AX27" s="300"/>
      <c r="AZ27" s="253"/>
      <c r="BA27" s="254"/>
      <c r="BC27" s="254"/>
    </row>
    <row r="28" spans="1:62" ht="15.6" x14ac:dyDescent="0.35">
      <c r="A28" s="152"/>
      <c r="B28" s="135" t="s">
        <v>170</v>
      </c>
      <c r="C28" s="140"/>
      <c r="D28" s="136" t="s">
        <v>154</v>
      </c>
      <c r="E28" s="131"/>
      <c r="F28" s="131"/>
      <c r="G28" s="159">
        <v>18</v>
      </c>
      <c r="H28" s="203"/>
      <c r="I28" s="141"/>
      <c r="J28" s="180"/>
      <c r="K28" s="180"/>
      <c r="L28" s="180"/>
      <c r="M28" s="57"/>
      <c r="N28" s="57"/>
      <c r="O28" s="57"/>
      <c r="P28" s="56"/>
      <c r="Q28" s="175"/>
      <c r="R28" s="163"/>
      <c r="S28" s="107"/>
      <c r="T28" s="107"/>
      <c r="U28" s="107"/>
      <c r="V28" s="107"/>
      <c r="W28" s="107"/>
      <c r="X28" s="111"/>
      <c r="Y28" s="111"/>
      <c r="Z28" s="109"/>
      <c r="AA28" s="107"/>
      <c r="AB28" s="111"/>
      <c r="AC28" s="107"/>
      <c r="AD28" s="221"/>
      <c r="AE28" s="227"/>
      <c r="AF28" s="107"/>
      <c r="AG28" s="107"/>
      <c r="AH28" s="107"/>
      <c r="AI28" s="247"/>
      <c r="AJ28" s="251"/>
      <c r="AK28" s="107"/>
      <c r="AL28" s="107"/>
      <c r="AM28" s="107"/>
      <c r="AN28" s="107"/>
      <c r="AO28" s="107"/>
      <c r="AP28" s="107"/>
      <c r="AQ28" s="107"/>
      <c r="AR28" s="107"/>
      <c r="AS28" s="107"/>
      <c r="AT28" s="107"/>
      <c r="AU28" s="247"/>
      <c r="AV28" s="266"/>
      <c r="AW28" s="296"/>
      <c r="AX28" s="301"/>
      <c r="AZ28" s="253"/>
      <c r="BA28" s="254"/>
      <c r="BC28" s="254"/>
    </row>
    <row r="29" spans="1:62" ht="15.6" x14ac:dyDescent="0.35">
      <c r="A29" s="152"/>
      <c r="B29" s="135" t="s">
        <v>169</v>
      </c>
      <c r="C29" s="140"/>
      <c r="D29" s="136" t="s">
        <v>174</v>
      </c>
      <c r="E29" s="131"/>
      <c r="F29" s="131"/>
      <c r="G29" s="159">
        <v>19</v>
      </c>
      <c r="H29" s="202"/>
      <c r="I29" s="44"/>
      <c r="J29" s="178"/>
      <c r="K29" s="178"/>
      <c r="L29" s="179"/>
      <c r="M29" s="57"/>
      <c r="N29" s="57"/>
      <c r="O29" s="57"/>
      <c r="P29" s="56"/>
      <c r="Q29" s="174"/>
      <c r="R29" s="162"/>
      <c r="S29" s="105"/>
      <c r="T29" s="106"/>
      <c r="U29" s="106"/>
      <c r="V29" s="106"/>
      <c r="W29" s="106"/>
      <c r="X29" s="110"/>
      <c r="Y29" s="110"/>
      <c r="Z29" s="108"/>
      <c r="AA29" s="106"/>
      <c r="AB29" s="110"/>
      <c r="AC29" s="106"/>
      <c r="AD29" s="220"/>
      <c r="AE29" s="226"/>
      <c r="AF29" s="106"/>
      <c r="AG29" s="106"/>
      <c r="AH29" s="106"/>
      <c r="AI29" s="246"/>
      <c r="AJ29" s="250"/>
      <c r="AK29" s="106"/>
      <c r="AL29" s="106"/>
      <c r="AM29" s="106"/>
      <c r="AN29" s="106"/>
      <c r="AO29" s="106"/>
      <c r="AP29" s="106"/>
      <c r="AQ29" s="106"/>
      <c r="AR29" s="106"/>
      <c r="AS29" s="106"/>
      <c r="AT29" s="106"/>
      <c r="AU29" s="246"/>
      <c r="AV29" s="265"/>
      <c r="AW29" s="295"/>
      <c r="AX29" s="300"/>
      <c r="AZ29" s="253"/>
      <c r="BA29" s="254"/>
      <c r="BC29" s="254"/>
    </row>
    <row r="30" spans="1:62" x14ac:dyDescent="0.3">
      <c r="A30" s="152"/>
      <c r="B30" s="135" t="s">
        <v>171</v>
      </c>
      <c r="C30" s="140"/>
      <c r="D30" s="136" t="s">
        <v>157</v>
      </c>
      <c r="E30" s="131"/>
      <c r="F30" s="131"/>
      <c r="G30" s="159">
        <v>20</v>
      </c>
      <c r="H30" s="203"/>
      <c r="I30" s="141"/>
      <c r="J30" s="180"/>
      <c r="K30" s="180"/>
      <c r="L30" s="180"/>
      <c r="M30" s="57"/>
      <c r="N30" s="57"/>
      <c r="O30" s="57"/>
      <c r="P30" s="56"/>
      <c r="Q30" s="175"/>
      <c r="R30" s="163"/>
      <c r="S30" s="107"/>
      <c r="T30" s="107"/>
      <c r="U30" s="107"/>
      <c r="V30" s="107"/>
      <c r="W30" s="107"/>
      <c r="X30" s="111"/>
      <c r="Y30" s="111"/>
      <c r="Z30" s="109"/>
      <c r="AA30" s="107"/>
      <c r="AB30" s="111"/>
      <c r="AC30" s="107"/>
      <c r="AD30" s="221"/>
      <c r="AE30" s="227"/>
      <c r="AF30" s="107"/>
      <c r="AG30" s="107"/>
      <c r="AH30" s="107"/>
      <c r="AI30" s="247"/>
      <c r="AJ30" s="251"/>
      <c r="AK30" s="107"/>
      <c r="AL30" s="107"/>
      <c r="AM30" s="107"/>
      <c r="AN30" s="107"/>
      <c r="AO30" s="107"/>
      <c r="AP30" s="107"/>
      <c r="AQ30" s="107"/>
      <c r="AR30" s="107"/>
      <c r="AS30" s="107"/>
      <c r="AT30" s="107"/>
      <c r="AU30" s="247"/>
      <c r="AV30" s="266"/>
      <c r="AW30" s="296"/>
      <c r="AX30" s="301"/>
      <c r="AZ30" s="253"/>
      <c r="BA30" s="254"/>
      <c r="BC30" s="254"/>
    </row>
    <row r="31" spans="1:62" ht="15.6" x14ac:dyDescent="0.35">
      <c r="A31" s="152"/>
      <c r="B31" s="135" t="s">
        <v>195</v>
      </c>
      <c r="C31" s="140"/>
      <c r="D31" s="136" t="s">
        <v>196</v>
      </c>
      <c r="E31" s="131"/>
      <c r="F31" s="131"/>
      <c r="G31" s="146"/>
      <c r="M31" s="273"/>
      <c r="N31" s="273"/>
      <c r="O31" s="273"/>
      <c r="P31" s="273"/>
      <c r="AB31" s="103"/>
      <c r="AC31" s="103"/>
      <c r="AD31" s="103"/>
      <c r="AE31" s="103"/>
      <c r="AF31" s="103"/>
      <c r="AG31" s="103"/>
      <c r="AH31" s="103"/>
      <c r="AI31" s="103"/>
      <c r="AJ31" s="103"/>
      <c r="AK31" s="103"/>
      <c r="AL31" s="103"/>
      <c r="AM31" s="103"/>
      <c r="AN31" s="103"/>
      <c r="AO31" s="103"/>
      <c r="AP31" s="103"/>
      <c r="AQ31" s="103"/>
      <c r="AR31" s="103"/>
      <c r="AS31" s="103"/>
      <c r="AT31" s="103"/>
      <c r="AU31" s="103"/>
    </row>
    <row r="32" spans="1:62" x14ac:dyDescent="0.3">
      <c r="A32" s="139"/>
      <c r="B32" s="139"/>
      <c r="C32" s="139"/>
      <c r="D32" s="139"/>
      <c r="E32" s="139"/>
      <c r="F32" s="139"/>
      <c r="G32" s="281" t="s">
        <v>320</v>
      </c>
      <c r="H32" s="282" t="s">
        <v>286</v>
      </c>
      <c r="I32" s="282"/>
      <c r="J32" s="282"/>
      <c r="K32" s="282"/>
      <c r="L32" s="282"/>
      <c r="M32" s="443" t="s">
        <v>393</v>
      </c>
      <c r="AB32"/>
      <c r="AC32"/>
      <c r="AD32"/>
      <c r="AV32" s="305" t="s">
        <v>315</v>
      </c>
      <c r="AW32" s="284" t="s">
        <v>316</v>
      </c>
    </row>
    <row r="33" spans="1:49" ht="15" x14ac:dyDescent="0.35">
      <c r="A33" s="114" t="s">
        <v>306</v>
      </c>
      <c r="B33" s="115"/>
      <c r="C33" s="51" t="s">
        <v>159</v>
      </c>
      <c r="D33" s="51" t="s">
        <v>160</v>
      </c>
      <c r="E33" s="51" t="s">
        <v>165</v>
      </c>
      <c r="F33" s="115"/>
      <c r="G33" s="283"/>
      <c r="H33" s="282" t="s">
        <v>292</v>
      </c>
      <c r="I33" s="282"/>
      <c r="J33" s="282"/>
      <c r="K33" s="282"/>
      <c r="L33" s="282"/>
      <c r="M33" s="277" t="s">
        <v>295</v>
      </c>
      <c r="N33" s="278" t="s">
        <v>98</v>
      </c>
      <c r="O33" s="279" t="s">
        <v>296</v>
      </c>
      <c r="P33" s="278" t="s">
        <v>297</v>
      </c>
      <c r="AB33"/>
      <c r="AC33"/>
      <c r="AD33"/>
      <c r="AV33" s="284"/>
      <c r="AW33" s="284" t="s">
        <v>318</v>
      </c>
    </row>
    <row r="34" spans="1:49" x14ac:dyDescent="0.3">
      <c r="A34" s="114" t="s">
        <v>307</v>
      </c>
      <c r="B34" s="115"/>
      <c r="C34" s="133" t="s">
        <v>172</v>
      </c>
      <c r="D34" s="133" t="s">
        <v>161</v>
      </c>
      <c r="E34" s="133" t="s">
        <v>289</v>
      </c>
      <c r="F34" s="115"/>
      <c r="G34" s="283"/>
      <c r="H34" s="282" t="s">
        <v>287</v>
      </c>
      <c r="I34" s="282"/>
      <c r="J34" s="282"/>
      <c r="K34" s="282"/>
      <c r="L34" s="452" t="s">
        <v>74</v>
      </c>
      <c r="M34" s="277" t="s">
        <v>298</v>
      </c>
      <c r="N34" s="278" t="s">
        <v>25</v>
      </c>
      <c r="O34" s="279" t="s">
        <v>23</v>
      </c>
      <c r="P34" s="278" t="s">
        <v>299</v>
      </c>
      <c r="AV34" s="284"/>
      <c r="AW34" s="284" t="s">
        <v>317</v>
      </c>
    </row>
    <row r="35" spans="1:49" x14ac:dyDescent="0.3">
      <c r="A35" s="115"/>
      <c r="B35" s="115"/>
      <c r="C35" s="134" t="s">
        <v>173</v>
      </c>
      <c r="D35" s="134" t="s">
        <v>166</v>
      </c>
      <c r="E35" s="134" t="s">
        <v>167</v>
      </c>
      <c r="F35" s="115"/>
      <c r="G35" s="283"/>
      <c r="H35" s="282" t="s">
        <v>288</v>
      </c>
      <c r="I35" s="282"/>
      <c r="J35" s="282"/>
      <c r="K35" s="282"/>
      <c r="L35" s="452" t="s">
        <v>110</v>
      </c>
      <c r="M35" s="55"/>
      <c r="N35" s="55"/>
      <c r="O35" s="55"/>
      <c r="P35" s="55"/>
      <c r="AV35" s="284"/>
      <c r="AW35" s="284"/>
    </row>
    <row r="36" spans="1:49" x14ac:dyDescent="0.3">
      <c r="A36" s="152"/>
      <c r="B36" s="125" t="s">
        <v>182</v>
      </c>
      <c r="C36" s="51"/>
      <c r="D36" s="142"/>
      <c r="E36" s="143"/>
      <c r="F36" s="115"/>
      <c r="G36" s="281"/>
      <c r="H36" s="282"/>
      <c r="I36" s="282"/>
      <c r="J36" s="282"/>
      <c r="K36" s="282"/>
      <c r="L36" s="452" t="s">
        <v>149</v>
      </c>
      <c r="M36" s="55"/>
      <c r="N36" s="55"/>
      <c r="O36" s="274"/>
      <c r="P36" s="274"/>
      <c r="AV36" s="284"/>
      <c r="AW36" s="284"/>
    </row>
    <row r="37" spans="1:49" ht="16.2" x14ac:dyDescent="0.3">
      <c r="A37" s="152"/>
      <c r="B37" s="125" t="s">
        <v>183</v>
      </c>
      <c r="C37" s="144"/>
      <c r="D37" s="143"/>
      <c r="E37" s="143"/>
      <c r="F37" s="304" t="s">
        <v>321</v>
      </c>
      <c r="G37" s="283"/>
      <c r="H37" s="282"/>
      <c r="I37" s="282"/>
      <c r="J37" s="282"/>
      <c r="K37" s="282"/>
      <c r="L37" s="282"/>
      <c r="M37" s="41"/>
      <c r="N37" s="41"/>
      <c r="AV37" s="274"/>
      <c r="AW37" s="274"/>
    </row>
    <row r="38" spans="1:49" x14ac:dyDescent="0.3">
      <c r="A38" s="152"/>
      <c r="B38" s="125" t="s">
        <v>184</v>
      </c>
      <c r="C38" s="143"/>
      <c r="D38" s="142"/>
      <c r="E38" s="143"/>
      <c r="F38" s="115"/>
      <c r="G38" s="283"/>
      <c r="H38" s="282"/>
      <c r="I38" s="282"/>
      <c r="J38" s="282"/>
      <c r="K38" s="282"/>
      <c r="L38" s="282"/>
      <c r="AV38" s="274"/>
      <c r="AW38" s="274"/>
    </row>
    <row r="39" spans="1:49" x14ac:dyDescent="0.3">
      <c r="A39" s="285" t="s">
        <v>291</v>
      </c>
      <c r="B39" s="276"/>
      <c r="C39" s="276"/>
      <c r="D39" s="276"/>
      <c r="E39" s="116"/>
      <c r="F39" s="116"/>
      <c r="G39" s="283"/>
      <c r="H39" s="282"/>
      <c r="I39" s="282"/>
      <c r="J39" s="282"/>
      <c r="K39" s="282"/>
      <c r="L39" s="282"/>
    </row>
    <row r="40" spans="1:49" ht="15" x14ac:dyDescent="0.35">
      <c r="A40" s="286"/>
      <c r="B40" s="287" t="s">
        <v>308</v>
      </c>
      <c r="C40" s="288"/>
      <c r="D40" s="272" t="s">
        <v>95</v>
      </c>
      <c r="E40" s="289"/>
      <c r="F40" s="289"/>
      <c r="G40" s="146"/>
      <c r="H40" s="17"/>
    </row>
    <row r="41" spans="1:49" ht="15" x14ac:dyDescent="0.35">
      <c r="A41" s="286"/>
      <c r="B41" s="287" t="s">
        <v>309</v>
      </c>
      <c r="C41" s="288"/>
      <c r="D41" s="272" t="s">
        <v>294</v>
      </c>
      <c r="E41" s="289"/>
      <c r="F41" s="289"/>
      <c r="G41" s="146"/>
      <c r="H41" s="17"/>
    </row>
    <row r="42" spans="1:49" ht="14.4" customHeight="1" x14ac:dyDescent="0.3">
      <c r="A42" s="559" t="s">
        <v>290</v>
      </c>
      <c r="B42" s="559"/>
      <c r="C42" s="559"/>
      <c r="D42" s="559"/>
      <c r="E42" s="559"/>
      <c r="F42" s="560"/>
      <c r="G42" s="146"/>
      <c r="H42" s="17"/>
    </row>
    <row r="43" spans="1:49" ht="15" x14ac:dyDescent="0.35">
      <c r="A43" s="286"/>
      <c r="B43" s="290" t="s">
        <v>310</v>
      </c>
      <c r="C43" s="288"/>
      <c r="D43" s="272" t="s">
        <v>158</v>
      </c>
      <c r="E43" s="291"/>
      <c r="F43" s="291"/>
      <c r="G43" s="146"/>
      <c r="H43" s="17"/>
    </row>
    <row r="44" spans="1:49" ht="15" x14ac:dyDescent="0.35">
      <c r="A44" s="286"/>
      <c r="B44" s="290" t="s">
        <v>311</v>
      </c>
      <c r="C44" s="292"/>
      <c r="D44" s="272" t="s">
        <v>197</v>
      </c>
      <c r="E44" s="291"/>
      <c r="F44" s="291"/>
      <c r="G44" s="146"/>
      <c r="H44" s="17"/>
    </row>
    <row r="45" spans="1:49" ht="15" x14ac:dyDescent="0.35">
      <c r="A45" s="286"/>
      <c r="B45" s="290" t="s">
        <v>312</v>
      </c>
      <c r="C45" s="288"/>
      <c r="D45" s="272" t="s">
        <v>198</v>
      </c>
      <c r="E45" s="291"/>
      <c r="F45" s="291"/>
      <c r="G45" s="146"/>
      <c r="H45" s="17"/>
    </row>
    <row r="46" spans="1:49" ht="15" x14ac:dyDescent="0.35">
      <c r="A46" s="286"/>
      <c r="B46" s="290" t="s">
        <v>313</v>
      </c>
      <c r="C46" s="288"/>
      <c r="D46" s="272" t="s">
        <v>176</v>
      </c>
      <c r="E46" s="291"/>
      <c r="F46" s="291"/>
      <c r="G46" s="146"/>
      <c r="H46" s="17"/>
    </row>
    <row r="47" spans="1:49" x14ac:dyDescent="0.3">
      <c r="A47" s="273"/>
      <c r="B47" s="273"/>
      <c r="C47" s="273"/>
      <c r="D47" s="274"/>
      <c r="E47" s="274"/>
      <c r="F47" s="274"/>
      <c r="G47" s="146"/>
      <c r="H47" s="17"/>
    </row>
    <row r="48" spans="1:49" x14ac:dyDescent="0.3">
      <c r="A48" s="302" t="s">
        <v>321</v>
      </c>
      <c r="B48" s="303" t="s">
        <v>300</v>
      </c>
      <c r="C48" s="303"/>
      <c r="D48" s="303"/>
      <c r="E48" s="303"/>
      <c r="F48" s="284"/>
      <c r="G48" s="146"/>
      <c r="H48" s="17"/>
    </row>
    <row r="49" spans="1:8" x14ac:dyDescent="0.3">
      <c r="A49" s="303"/>
      <c r="B49" s="303" t="s">
        <v>302</v>
      </c>
      <c r="C49" s="303"/>
      <c r="D49" s="303"/>
      <c r="E49" s="303"/>
      <c r="F49" s="284"/>
      <c r="G49" s="146"/>
      <c r="H49" s="17"/>
    </row>
    <row r="50" spans="1:8" x14ac:dyDescent="0.3">
      <c r="A50" s="303"/>
      <c r="B50" s="303" t="s">
        <v>301</v>
      </c>
      <c r="C50" s="303"/>
      <c r="D50" s="303"/>
      <c r="E50" s="303"/>
      <c r="F50" s="284"/>
      <c r="G50" s="146"/>
      <c r="H50" s="17"/>
    </row>
    <row r="51" spans="1:8" x14ac:dyDescent="0.3">
      <c r="A51" s="282"/>
      <c r="B51" s="282"/>
      <c r="C51" s="282"/>
      <c r="D51" s="284"/>
      <c r="E51" s="284"/>
      <c r="F51" s="284"/>
      <c r="G51" s="146"/>
      <c r="H51" s="17"/>
    </row>
    <row r="52" spans="1:8" x14ac:dyDescent="0.3">
      <c r="A52" s="282"/>
      <c r="B52" s="282"/>
      <c r="C52" s="282"/>
      <c r="D52" s="284"/>
      <c r="E52" s="284"/>
      <c r="F52" s="284"/>
      <c r="G52" s="146"/>
      <c r="H52" s="17"/>
    </row>
    <row r="53" spans="1:8" x14ac:dyDescent="0.3">
      <c r="A53" s="273"/>
      <c r="B53" s="273"/>
      <c r="C53" s="273"/>
      <c r="G53" s="146"/>
      <c r="H53" s="17"/>
    </row>
    <row r="54" spans="1:8" x14ac:dyDescent="0.3">
      <c r="A54" s="273"/>
      <c r="B54" s="273"/>
      <c r="C54" s="273"/>
      <c r="G54" s="146"/>
      <c r="H54" s="17"/>
    </row>
    <row r="55" spans="1:8" x14ac:dyDescent="0.3">
      <c r="G55" s="146"/>
      <c r="H55" s="17"/>
    </row>
    <row r="56" spans="1:8" x14ac:dyDescent="0.3">
      <c r="G56" s="146"/>
      <c r="H56" s="17"/>
    </row>
    <row r="57" spans="1:8" x14ac:dyDescent="0.3">
      <c r="G57" s="146"/>
      <c r="H57" s="17"/>
    </row>
    <row r="58" spans="1:8" x14ac:dyDescent="0.3">
      <c r="G58" s="146"/>
      <c r="H58" s="17"/>
    </row>
    <row r="66" spans="1:3" x14ac:dyDescent="0.3">
      <c r="A66" s="47"/>
      <c r="B66" s="54"/>
      <c r="C66" s="58"/>
    </row>
    <row r="67" spans="1:3" x14ac:dyDescent="0.3">
      <c r="A67" s="47"/>
      <c r="B67" s="47"/>
      <c r="C67" s="58"/>
    </row>
    <row r="68" spans="1:3" x14ac:dyDescent="0.3">
      <c r="A68" s="47"/>
      <c r="B68" s="53"/>
      <c r="C68" s="59"/>
    </row>
    <row r="69" spans="1:3" x14ac:dyDescent="0.3">
      <c r="A69" s="48"/>
      <c r="B69" s="47"/>
      <c r="C69" s="59"/>
    </row>
    <row r="70" spans="1:3" x14ac:dyDescent="0.3">
      <c r="A70" s="52"/>
    </row>
    <row r="71" spans="1:3" x14ac:dyDescent="0.3">
      <c r="A71" s="47"/>
    </row>
  </sheetData>
  <mergeCells count="19">
    <mergeCell ref="AJ5:AJ6"/>
    <mergeCell ref="AK5:AK6"/>
    <mergeCell ref="AL5:AL6"/>
    <mergeCell ref="A42:F42"/>
    <mergeCell ref="AN4:AQ4"/>
    <mergeCell ref="I6:I7"/>
    <mergeCell ref="J6:J7"/>
    <mergeCell ref="K6:K7"/>
    <mergeCell ref="L6:L7"/>
    <mergeCell ref="Q5:Q6"/>
    <mergeCell ref="H6:H7"/>
    <mergeCell ref="AM5:AM6"/>
    <mergeCell ref="AR4:AU4"/>
    <mergeCell ref="U4:V4"/>
    <mergeCell ref="AF4:AH4"/>
    <mergeCell ref="AA4:AB4"/>
    <mergeCell ref="W4:Y4"/>
    <mergeCell ref="AJ4:AK4"/>
    <mergeCell ref="AL4:AM4"/>
  </mergeCells>
  <conditionalFormatting sqref="AV8:AW30">
    <cfRule type="cellIs" dxfId="17" priority="3" operator="greaterThan">
      <formula>1</formula>
    </cfRule>
  </conditionalFormatting>
  <conditionalFormatting sqref="AN8:AQ30">
    <cfRule type="cellIs" dxfId="16" priority="2" operator="greaterThan">
      <formula>$C$9</formula>
    </cfRule>
  </conditionalFormatting>
  <conditionalFormatting sqref="U8:U30">
    <cfRule type="cellIs" dxfId="15" priority="1" operator="greaterThan">
      <formula>$C$9</formula>
    </cfRule>
  </conditionalFormatting>
  <pageMargins left="0.7" right="0.7" top="0.75" bottom="0.75" header="0.3" footer="0.3"/>
  <pageSetup paperSize="9" orientation="portrait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Ledningslista">
              <controlPr defaultSize="0" autoLine="0" autoPict="0" macro="[0]!Blad1.ledare">
                <anchor mov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presetlista">
              <controlPr defaultSize="0" autoLine="0" autoPict="0" macro="[0]!Blad1.preset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12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lad1.Berakna">
                <anchor moveWithCells="1" sizeWithCells="1">
                  <from>
                    <xdr:col>12</xdr:col>
                    <xdr:colOff>38100</xdr:colOff>
                    <xdr:row>2</xdr:row>
                    <xdr:rowOff>60960</xdr:rowOff>
                  </from>
                  <to>
                    <xdr:col>15</xdr:col>
                    <xdr:colOff>266700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Check Box 4">
              <controlPr defaultSize="0" autoFill="0" autoLine="0" autoPict="0">
                <anchor moveWithCells="1">
                  <from>
                    <xdr:col>0</xdr:col>
                    <xdr:colOff>0</xdr:colOff>
                    <xdr:row>20</xdr:row>
                    <xdr:rowOff>0</xdr:rowOff>
                  </from>
                  <to>
                    <xdr:col>2</xdr:col>
                    <xdr:colOff>144780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Check Box 5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0</xdr:rowOff>
                  </from>
                  <to>
                    <xdr:col>2</xdr:col>
                    <xdr:colOff>114300</xdr:colOff>
                    <xdr:row>31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Option Button 6">
              <controlPr defaultSize="0" autoFill="0" autoLine="0" autoPict="0">
                <anchor mov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7</xdr:col>
                    <xdr:colOff>22860</xdr:colOff>
                    <xdr:row>21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Option Button 7">
              <controlPr defaultSize="0" autoFill="0" autoLine="0" autoPict="0">
                <anchor mov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7</xdr:col>
                    <xdr:colOff>38100</xdr:colOff>
                    <xdr:row>22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>
    <pageSetUpPr fitToPage="1"/>
  </sheetPr>
  <dimension ref="A1:X51"/>
  <sheetViews>
    <sheetView view="pageBreakPreview" zoomScale="70" zoomScaleNormal="80" zoomScaleSheetLayoutView="70" zoomScalePageLayoutView="80" workbookViewId="0">
      <selection activeCell="K16" sqref="K16"/>
    </sheetView>
  </sheetViews>
  <sheetFormatPr defaultRowHeight="14.4" x14ac:dyDescent="0.3"/>
  <cols>
    <col min="1" max="1" width="3.109375" customWidth="1"/>
    <col min="2" max="2" width="14" customWidth="1"/>
    <col min="3" max="10" width="5.33203125" customWidth="1"/>
    <col min="11" max="11" width="28" customWidth="1"/>
    <col min="12" max="12" width="21.33203125" customWidth="1"/>
    <col min="13" max="15" width="7.6640625" customWidth="1"/>
    <col min="16" max="16" width="11.33203125" customWidth="1"/>
    <col min="17" max="17" width="9.6640625" customWidth="1"/>
    <col min="18" max="18" width="7.6640625" customWidth="1"/>
    <col min="19" max="19" width="9.44140625" customWidth="1"/>
    <col min="20" max="20" width="9.6640625" customWidth="1"/>
    <col min="21" max="21" width="9.44140625" customWidth="1"/>
    <col min="22" max="23" width="9.5546875" customWidth="1"/>
    <col min="24" max="24" width="9.88671875" customWidth="1"/>
    <col min="25" max="25" width="9.44140625" customWidth="1"/>
    <col min="26" max="26" width="9.33203125" customWidth="1"/>
    <col min="27" max="27" width="11" customWidth="1"/>
    <col min="28" max="28" width="9.88671875" customWidth="1"/>
    <col min="31" max="31" width="9.6640625" customWidth="1"/>
  </cols>
  <sheetData>
    <row r="1" spans="1:24" x14ac:dyDescent="0.3">
      <c r="A1" s="427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580" t="s">
        <v>367</v>
      </c>
      <c r="N1" s="581"/>
      <c r="O1" s="578" t="s">
        <v>398</v>
      </c>
      <c r="P1" s="578"/>
      <c r="Q1" s="578"/>
      <c r="R1" s="578"/>
      <c r="S1" s="579"/>
      <c r="T1" s="389"/>
      <c r="U1" s="390"/>
      <c r="V1" s="571" t="s">
        <v>371</v>
      </c>
      <c r="W1" s="572"/>
      <c r="X1" s="573"/>
    </row>
    <row r="2" spans="1:24" x14ac:dyDescent="0.3">
      <c r="A2" s="65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580" t="s">
        <v>376</v>
      </c>
      <c r="N2" s="581"/>
      <c r="O2" s="578"/>
      <c r="P2" s="578"/>
      <c r="Q2" s="578"/>
      <c r="R2" s="578"/>
      <c r="S2" s="579"/>
      <c r="T2" s="334"/>
      <c r="U2" s="336"/>
      <c r="V2" s="568" t="s">
        <v>400</v>
      </c>
      <c r="W2" s="569"/>
      <c r="X2" s="570"/>
    </row>
    <row r="3" spans="1:24" x14ac:dyDescent="0.3">
      <c r="A3" s="65"/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580" t="s">
        <v>368</v>
      </c>
      <c r="N3" s="581"/>
      <c r="O3" s="578" t="s">
        <v>399</v>
      </c>
      <c r="P3" s="578"/>
      <c r="Q3" s="578"/>
      <c r="R3" s="578"/>
      <c r="S3" s="579"/>
      <c r="T3" s="334"/>
      <c r="U3" s="336"/>
      <c r="V3" s="388" t="s">
        <v>370</v>
      </c>
      <c r="W3" s="566">
        <v>0</v>
      </c>
      <c r="X3" s="567"/>
    </row>
    <row r="4" spans="1:24" ht="18" x14ac:dyDescent="0.35">
      <c r="A4" s="65"/>
      <c r="B4" s="413" t="s">
        <v>388</v>
      </c>
      <c r="C4" s="17"/>
      <c r="D4" s="17"/>
      <c r="E4" s="17"/>
      <c r="F4" s="17"/>
      <c r="G4" s="17"/>
      <c r="H4" s="17"/>
      <c r="I4" s="17"/>
      <c r="J4" s="17"/>
      <c r="K4" s="17"/>
      <c r="L4" s="17"/>
      <c r="M4" s="580" t="s">
        <v>375</v>
      </c>
      <c r="N4" s="581"/>
      <c r="O4" s="578" t="s">
        <v>397</v>
      </c>
      <c r="P4" s="578"/>
      <c r="Q4" s="578"/>
      <c r="R4" s="578"/>
      <c r="S4" s="579"/>
      <c r="T4" s="391"/>
      <c r="U4" s="130"/>
      <c r="V4" s="394" t="s">
        <v>373</v>
      </c>
      <c r="W4" s="574"/>
      <c r="X4" s="575"/>
    </row>
    <row r="5" spans="1:24" ht="15.6" x14ac:dyDescent="0.3">
      <c r="A5" s="65"/>
      <c r="B5" s="368" t="s">
        <v>387</v>
      </c>
      <c r="C5" s="367"/>
      <c r="D5" s="367"/>
      <c r="E5" s="367"/>
      <c r="F5" s="367"/>
      <c r="G5" s="367"/>
      <c r="H5" s="367"/>
      <c r="I5" s="367"/>
      <c r="J5" s="367"/>
      <c r="K5" s="367"/>
      <c r="L5" s="367"/>
      <c r="M5" s="59"/>
      <c r="N5" s="59"/>
      <c r="O5" s="59"/>
      <c r="P5" s="59"/>
      <c r="Q5" s="59"/>
      <c r="R5" s="59"/>
      <c r="S5" s="17"/>
      <c r="T5" s="17"/>
      <c r="U5" s="17"/>
      <c r="V5" s="396" t="s">
        <v>374</v>
      </c>
      <c r="W5" s="564" t="s">
        <v>396</v>
      </c>
      <c r="X5" s="565"/>
    </row>
    <row r="6" spans="1:24" ht="15.6" x14ac:dyDescent="0.3">
      <c r="A6" s="428"/>
      <c r="B6" s="367"/>
      <c r="C6" s="367"/>
      <c r="D6" s="367"/>
      <c r="E6" s="367"/>
      <c r="F6" s="367"/>
      <c r="G6" s="367"/>
      <c r="H6" s="367"/>
      <c r="I6" s="367"/>
      <c r="J6" s="367"/>
      <c r="K6" s="367"/>
      <c r="L6" s="367"/>
      <c r="M6" s="59"/>
      <c r="N6" s="376"/>
      <c r="O6" s="376"/>
      <c r="P6" s="376"/>
      <c r="Q6" s="376"/>
      <c r="R6" s="376"/>
      <c r="S6" s="17"/>
      <c r="T6" s="17"/>
      <c r="U6" s="17"/>
      <c r="V6" s="393" t="s">
        <v>373</v>
      </c>
      <c r="W6" s="576">
        <v>42979</v>
      </c>
      <c r="X6" s="577"/>
    </row>
    <row r="7" spans="1:24" ht="15.6" x14ac:dyDescent="0.3">
      <c r="A7" s="65"/>
      <c r="B7" s="370" t="s">
        <v>79</v>
      </c>
      <c r="C7" s="369"/>
      <c r="D7" s="367"/>
      <c r="E7" s="367"/>
      <c r="F7" s="367"/>
      <c r="G7" s="367"/>
      <c r="H7" s="367"/>
      <c r="I7" s="367"/>
      <c r="J7" s="367"/>
      <c r="K7" s="367"/>
      <c r="L7" s="367"/>
      <c r="M7" s="17"/>
      <c r="N7" s="429" t="s">
        <v>339</v>
      </c>
      <c r="O7" s="376"/>
      <c r="P7" s="376"/>
      <c r="Q7" s="376"/>
      <c r="R7" s="376"/>
      <c r="S7" s="17"/>
      <c r="T7" s="17"/>
      <c r="U7" s="17"/>
      <c r="V7" s="397" t="s">
        <v>369</v>
      </c>
      <c r="W7" s="564"/>
      <c r="X7" s="565"/>
    </row>
    <row r="8" spans="1:24" ht="15.6" x14ac:dyDescent="0.3">
      <c r="A8" s="430"/>
      <c r="B8" s="592" t="str">
        <f>'Sag-Tension'!Q4</f>
        <v>593 AL59</v>
      </c>
      <c r="C8" s="593"/>
      <c r="D8" s="593"/>
      <c r="E8" s="593"/>
      <c r="F8" s="593"/>
      <c r="G8" s="593"/>
      <c r="H8" s="593"/>
      <c r="I8" s="593"/>
      <c r="J8" s="593"/>
      <c r="K8" s="594"/>
      <c r="L8" s="367"/>
      <c r="M8" s="17"/>
      <c r="N8" s="403" t="s">
        <v>377</v>
      </c>
      <c r="O8" s="404">
        <f>'Sag-Tension'!C6</f>
        <v>593</v>
      </c>
      <c r="P8" s="405" t="s">
        <v>90</v>
      </c>
      <c r="Q8" s="406"/>
      <c r="R8" s="407"/>
      <c r="S8" s="17"/>
      <c r="T8" s="17"/>
      <c r="U8" s="17"/>
      <c r="V8" s="392" t="s">
        <v>373</v>
      </c>
      <c r="W8" s="576"/>
      <c r="X8" s="577"/>
    </row>
    <row r="9" spans="1:24" ht="14.4" customHeight="1" x14ac:dyDescent="0.3">
      <c r="A9" s="430"/>
      <c r="B9" s="369"/>
      <c r="C9" s="367"/>
      <c r="D9" s="367"/>
      <c r="E9" s="367"/>
      <c r="F9" s="367"/>
      <c r="G9" s="367"/>
      <c r="H9" s="367"/>
      <c r="I9" s="367"/>
      <c r="J9" s="367"/>
      <c r="K9" s="369"/>
      <c r="L9" s="369"/>
      <c r="M9" s="17"/>
      <c r="N9" s="403" t="s">
        <v>91</v>
      </c>
      <c r="O9" s="404">
        <f>'Sag-Tension'!C7</f>
        <v>31.7</v>
      </c>
      <c r="P9" s="405" t="s">
        <v>93</v>
      </c>
      <c r="Q9" s="406"/>
      <c r="R9" s="407"/>
      <c r="S9" s="17"/>
      <c r="T9" s="17"/>
      <c r="U9" s="17"/>
      <c r="V9" s="397" t="s">
        <v>372</v>
      </c>
      <c r="W9" s="564"/>
      <c r="X9" s="565"/>
    </row>
    <row r="10" spans="1:24" ht="16.2" x14ac:dyDescent="0.35">
      <c r="A10" s="65"/>
      <c r="B10" s="366" t="s">
        <v>305</v>
      </c>
      <c r="C10" s="369"/>
      <c r="D10" s="369"/>
      <c r="E10" s="369"/>
      <c r="F10" s="369"/>
      <c r="G10" s="369"/>
      <c r="H10" s="369"/>
      <c r="I10" s="369"/>
      <c r="J10" s="369"/>
      <c r="K10" s="369"/>
      <c r="L10" s="369"/>
      <c r="M10" s="17"/>
      <c r="N10" s="403" t="s">
        <v>378</v>
      </c>
      <c r="O10" s="404">
        <f>'Sag-Tension'!C8</f>
        <v>16.2</v>
      </c>
      <c r="P10" s="405" t="s">
        <v>92</v>
      </c>
      <c r="Q10" s="406"/>
      <c r="R10" s="407"/>
      <c r="S10" s="17"/>
      <c r="T10" s="17"/>
      <c r="U10" s="17"/>
      <c r="V10" s="392" t="s">
        <v>373</v>
      </c>
      <c r="W10" s="576"/>
      <c r="X10" s="577"/>
    </row>
    <row r="11" spans="1:24" ht="18" x14ac:dyDescent="0.4">
      <c r="A11" s="430"/>
      <c r="B11" s="398" t="s">
        <v>354</v>
      </c>
      <c r="C11" s="399"/>
      <c r="D11" s="400"/>
      <c r="E11" s="63"/>
      <c r="F11" s="312" t="s">
        <v>359</v>
      </c>
      <c r="G11" s="591">
        <f>'Sag-Tension'!R4</f>
        <v>177</v>
      </c>
      <c r="H11" s="591"/>
      <c r="I11" s="382" t="s">
        <v>116</v>
      </c>
      <c r="J11" s="17"/>
      <c r="K11" s="367"/>
      <c r="L11" s="367"/>
      <c r="M11" s="17"/>
      <c r="N11" s="408" t="s">
        <v>379</v>
      </c>
      <c r="O11" s="425">
        <f>'Sag-Tension'!C9</f>
        <v>132.63069139966274</v>
      </c>
      <c r="P11" s="405" t="s">
        <v>94</v>
      </c>
      <c r="Q11" s="406"/>
      <c r="R11" s="407"/>
      <c r="S11" s="17"/>
      <c r="T11" s="17"/>
      <c r="U11" s="17"/>
      <c r="V11" s="395"/>
      <c r="W11" s="395"/>
      <c r="X11" s="431"/>
    </row>
    <row r="12" spans="1:24" ht="18" x14ac:dyDescent="0.4">
      <c r="A12" s="430"/>
      <c r="B12" s="398" t="s">
        <v>355</v>
      </c>
      <c r="C12" s="399"/>
      <c r="D12" s="400"/>
      <c r="E12" s="63"/>
      <c r="F12" s="312" t="s">
        <v>358</v>
      </c>
      <c r="G12" s="591">
        <f>'Sag-Tension'!S4</f>
        <v>50</v>
      </c>
      <c r="H12" s="591"/>
      <c r="I12" s="382" t="s">
        <v>114</v>
      </c>
      <c r="J12" s="17"/>
      <c r="K12" s="367"/>
      <c r="L12" s="367"/>
      <c r="M12" s="17"/>
      <c r="N12" s="403" t="s">
        <v>380</v>
      </c>
      <c r="O12" s="404">
        <f>'Sag-Tension'!C10</f>
        <v>53000</v>
      </c>
      <c r="P12" s="405" t="s">
        <v>71</v>
      </c>
      <c r="Q12" s="406"/>
      <c r="R12" s="407"/>
      <c r="S12" s="17"/>
      <c r="T12" s="17"/>
      <c r="U12" s="17"/>
      <c r="V12" s="17"/>
      <c r="W12" s="17"/>
      <c r="X12" s="432"/>
    </row>
    <row r="13" spans="1:24" ht="16.2" x14ac:dyDescent="0.35">
      <c r="A13" s="430"/>
      <c r="B13" s="398" t="s">
        <v>356</v>
      </c>
      <c r="C13" s="399"/>
      <c r="D13" s="400"/>
      <c r="E13" s="63"/>
      <c r="F13" s="312" t="s">
        <v>357</v>
      </c>
      <c r="G13" s="591">
        <f>'Sag-Tension'!T4</f>
        <v>14</v>
      </c>
      <c r="H13" s="591"/>
      <c r="I13" s="382" t="s">
        <v>116</v>
      </c>
      <c r="J13" s="17"/>
      <c r="K13" s="367"/>
      <c r="L13" s="367"/>
      <c r="M13" s="17"/>
      <c r="N13" s="403" t="s">
        <v>381</v>
      </c>
      <c r="O13" s="404">
        <f>'Sag-Tension'!C11</f>
        <v>60000</v>
      </c>
      <c r="P13" s="405" t="s">
        <v>72</v>
      </c>
      <c r="Q13" s="410"/>
      <c r="R13" s="407"/>
      <c r="S13" s="17"/>
      <c r="T13" s="17"/>
      <c r="U13" s="17"/>
      <c r="V13" s="17"/>
      <c r="W13" s="17"/>
      <c r="X13" s="432"/>
    </row>
    <row r="14" spans="1:24" ht="16.2" x14ac:dyDescent="0.35">
      <c r="A14" s="430"/>
      <c r="B14" s="369"/>
      <c r="C14" s="369"/>
      <c r="D14" s="369"/>
      <c r="E14" s="369"/>
      <c r="F14" s="369"/>
      <c r="G14" s="369"/>
      <c r="H14" s="369"/>
      <c r="I14" s="369"/>
      <c r="J14" s="369"/>
      <c r="K14" s="367"/>
      <c r="L14" s="367"/>
      <c r="M14" s="17"/>
      <c r="N14" s="408" t="s">
        <v>382</v>
      </c>
      <c r="O14" s="404">
        <f>'Sag-Tension'!C12</f>
        <v>100</v>
      </c>
      <c r="P14" s="405" t="s">
        <v>66</v>
      </c>
      <c r="Q14" s="410"/>
      <c r="R14" s="407"/>
      <c r="S14" s="376"/>
      <c r="T14" s="376"/>
      <c r="U14" s="376"/>
      <c r="V14" s="376"/>
      <c r="W14" s="376"/>
      <c r="X14" s="432"/>
    </row>
    <row r="15" spans="1:24" ht="16.2" x14ac:dyDescent="0.35">
      <c r="A15" s="428"/>
      <c r="B15" s="367"/>
      <c r="C15" s="367"/>
      <c r="D15" s="367"/>
      <c r="E15" s="367"/>
      <c r="F15" s="367"/>
      <c r="G15" s="367"/>
      <c r="H15" s="367"/>
      <c r="I15" s="367"/>
      <c r="J15" s="367"/>
      <c r="K15" s="367"/>
      <c r="L15" s="367"/>
      <c r="M15" s="17"/>
      <c r="N15" s="403" t="s">
        <v>67</v>
      </c>
      <c r="O15" s="404">
        <f>'Sag-Tension'!C13</f>
        <v>140</v>
      </c>
      <c r="P15" s="405" t="s">
        <v>383</v>
      </c>
      <c r="Q15" s="410"/>
      <c r="R15" s="407"/>
      <c r="S15" s="376"/>
      <c r="T15" s="376"/>
      <c r="U15" s="376"/>
      <c r="V15" s="376"/>
      <c r="W15" s="376"/>
      <c r="X15" s="432"/>
    </row>
    <row r="16" spans="1:24" ht="16.2" x14ac:dyDescent="0.35">
      <c r="A16" s="428"/>
      <c r="B16" s="370" t="s">
        <v>84</v>
      </c>
      <c r="C16" s="378"/>
      <c r="D16" s="378"/>
      <c r="E16" s="378"/>
      <c r="F16" s="367"/>
      <c r="G16" s="367"/>
      <c r="H16" s="367"/>
      <c r="I16" s="367"/>
      <c r="J16" s="59"/>
      <c r="K16" s="59"/>
      <c r="L16" s="59"/>
      <c r="M16" s="17"/>
      <c r="N16" s="408" t="s">
        <v>384</v>
      </c>
      <c r="O16" s="404">
        <f>'Sag-Tension'!C14</f>
        <v>0.4</v>
      </c>
      <c r="P16" s="405" t="s">
        <v>68</v>
      </c>
      <c r="Q16" s="410"/>
      <c r="R16" s="407"/>
      <c r="S16" s="17"/>
      <c r="T16" s="433" t="s">
        <v>291</v>
      </c>
      <c r="U16" s="434"/>
      <c r="V16" s="434"/>
      <c r="W16" s="376"/>
      <c r="X16" s="435"/>
    </row>
    <row r="17" spans="1:24" ht="18" x14ac:dyDescent="0.4">
      <c r="A17" s="428"/>
      <c r="B17" s="398" t="s">
        <v>360</v>
      </c>
      <c r="C17" s="399"/>
      <c r="D17" s="401"/>
      <c r="E17" s="402"/>
      <c r="F17" s="399" t="s">
        <v>364</v>
      </c>
      <c r="G17" s="588">
        <f>'Sag-Tension'!I3</f>
        <v>-40</v>
      </c>
      <c r="H17" s="588"/>
      <c r="I17" s="383" t="s">
        <v>122</v>
      </c>
      <c r="J17" s="59"/>
      <c r="K17" s="59"/>
      <c r="L17" s="59"/>
      <c r="M17" s="17"/>
      <c r="N17" s="408" t="s">
        <v>385</v>
      </c>
      <c r="O17" s="409">
        <f>'Sag-Tension'!C15</f>
        <v>17.391304347826086</v>
      </c>
      <c r="P17" s="405" t="s">
        <v>69</v>
      </c>
      <c r="Q17" s="410"/>
      <c r="R17" s="407"/>
      <c r="S17" s="17"/>
      <c r="T17" s="287" t="s">
        <v>308</v>
      </c>
      <c r="U17" s="411">
        <f>IF('Sag-Tension'!C40=0,1,'Sag-Tension'!C40)</f>
        <v>1</v>
      </c>
      <c r="V17" s="272" t="s">
        <v>362</v>
      </c>
      <c r="W17" s="381"/>
      <c r="X17" s="377"/>
    </row>
    <row r="18" spans="1:24" ht="18" x14ac:dyDescent="0.4">
      <c r="A18" s="428"/>
      <c r="B18" s="398" t="s">
        <v>361</v>
      </c>
      <c r="C18" s="399"/>
      <c r="D18" s="401"/>
      <c r="E18" s="399"/>
      <c r="F18" s="399" t="s">
        <v>365</v>
      </c>
      <c r="G18" s="588">
        <f>'Sag-Tension'!I4</f>
        <v>50</v>
      </c>
      <c r="H18" s="588"/>
      <c r="I18" s="383" t="s">
        <v>122</v>
      </c>
      <c r="J18" s="59"/>
      <c r="K18" s="59"/>
      <c r="L18" s="59"/>
      <c r="M18" s="17"/>
      <c r="N18" s="408" t="s">
        <v>386</v>
      </c>
      <c r="O18" s="404">
        <f>'Sag-Tension'!C16</f>
        <v>23</v>
      </c>
      <c r="P18" s="405" t="s">
        <v>70</v>
      </c>
      <c r="Q18" s="410"/>
      <c r="R18" s="407"/>
      <c r="S18" s="17"/>
      <c r="T18" s="287" t="s">
        <v>309</v>
      </c>
      <c r="U18" s="411">
        <f>IF('Sag-Tension'!C41=0,0.5,'Sag-Tension'!C41)</f>
        <v>0.5</v>
      </c>
      <c r="V18" s="272" t="s">
        <v>363</v>
      </c>
      <c r="W18" s="381"/>
      <c r="X18" s="377"/>
    </row>
    <row r="19" spans="1:24" ht="15.6" x14ac:dyDescent="0.3">
      <c r="A19" s="428"/>
      <c r="B19" s="367"/>
      <c r="C19" s="367"/>
      <c r="D19" s="367"/>
      <c r="E19" s="367"/>
      <c r="F19" s="367"/>
      <c r="G19" s="367"/>
      <c r="H19" s="367"/>
      <c r="I19" s="367"/>
      <c r="J19" s="59"/>
      <c r="K19" s="59"/>
      <c r="L19" s="59"/>
      <c r="M19" s="59"/>
      <c r="N19" s="436"/>
      <c r="O19" s="436"/>
      <c r="P19" s="436"/>
      <c r="Q19" s="436"/>
      <c r="R19" s="436"/>
      <c r="S19" s="436"/>
      <c r="T19" s="436"/>
      <c r="U19" s="436"/>
      <c r="V19" s="436"/>
      <c r="W19" s="436"/>
      <c r="X19" s="437"/>
    </row>
    <row r="20" spans="1:24" ht="18" x14ac:dyDescent="0.35">
      <c r="A20" s="438"/>
      <c r="B20" s="59"/>
      <c r="C20" s="59"/>
      <c r="D20" s="59"/>
      <c r="E20" s="59"/>
      <c r="F20" s="59"/>
      <c r="G20" s="589" t="s">
        <v>352</v>
      </c>
      <c r="H20" s="590"/>
      <c r="I20" s="590"/>
      <c r="J20" s="590"/>
      <c r="K20" s="412" t="s">
        <v>366</v>
      </c>
      <c r="L20" s="413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432"/>
    </row>
    <row r="21" spans="1:24" x14ac:dyDescent="0.3">
      <c r="A21" s="438"/>
      <c r="B21" s="59"/>
      <c r="C21" s="59"/>
      <c r="D21" s="59"/>
      <c r="E21" s="59"/>
      <c r="F21" s="59"/>
      <c r="G21" s="582" t="s">
        <v>353</v>
      </c>
      <c r="H21" s="583"/>
      <c r="I21" s="583"/>
      <c r="J21" s="583"/>
      <c r="K21" s="386"/>
      <c r="L21" s="59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432"/>
    </row>
    <row r="22" spans="1:24" x14ac:dyDescent="0.3">
      <c r="A22" s="438"/>
      <c r="B22" s="59"/>
      <c r="C22" s="59"/>
      <c r="D22" s="59"/>
      <c r="E22" s="59"/>
      <c r="F22" s="59"/>
      <c r="G22" s="596" t="s">
        <v>343</v>
      </c>
      <c r="H22" s="596" t="s">
        <v>346</v>
      </c>
      <c r="I22" s="596" t="s">
        <v>344</v>
      </c>
      <c r="J22" s="599" t="s">
        <v>345</v>
      </c>
      <c r="K22" s="386"/>
      <c r="L22" s="59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432"/>
    </row>
    <row r="23" spans="1:24" x14ac:dyDescent="0.3">
      <c r="A23" s="65"/>
      <c r="B23" s="17"/>
      <c r="C23" s="17"/>
      <c r="D23" s="17"/>
      <c r="E23" s="17"/>
      <c r="F23" s="59"/>
      <c r="G23" s="597"/>
      <c r="H23" s="597"/>
      <c r="I23" s="597"/>
      <c r="J23" s="600"/>
      <c r="K23" s="387"/>
      <c r="L23" s="414"/>
      <c r="M23" s="414"/>
      <c r="N23" s="414"/>
      <c r="O23" s="414"/>
      <c r="P23" s="584" t="s">
        <v>269</v>
      </c>
      <c r="Q23" s="584"/>
      <c r="R23" s="585" t="s">
        <v>151</v>
      </c>
      <c r="S23" s="586"/>
      <c r="T23" s="587"/>
      <c r="U23" s="439"/>
      <c r="V23" s="585" t="s">
        <v>150</v>
      </c>
      <c r="W23" s="587"/>
      <c r="X23" s="340" t="s">
        <v>255</v>
      </c>
    </row>
    <row r="24" spans="1:24" ht="15.6" x14ac:dyDescent="0.3">
      <c r="A24" s="65"/>
      <c r="B24" s="595" t="s">
        <v>177</v>
      </c>
      <c r="C24" s="601" t="s">
        <v>73</v>
      </c>
      <c r="D24" s="601" t="s">
        <v>74</v>
      </c>
      <c r="E24" s="601" t="s">
        <v>75</v>
      </c>
      <c r="F24" s="601" t="s">
        <v>76</v>
      </c>
      <c r="G24" s="598"/>
      <c r="H24" s="597"/>
      <c r="I24" s="597"/>
      <c r="J24" s="600"/>
      <c r="K24" s="422" t="s">
        <v>340</v>
      </c>
      <c r="L24" s="415"/>
      <c r="M24" s="341" t="s">
        <v>74</v>
      </c>
      <c r="N24" s="341" t="s">
        <v>74</v>
      </c>
      <c r="O24" s="341" t="s">
        <v>75</v>
      </c>
      <c r="P24" s="358" t="s">
        <v>254</v>
      </c>
      <c r="Q24" s="341" t="s">
        <v>256</v>
      </c>
      <c r="R24" s="358" t="s">
        <v>258</v>
      </c>
      <c r="S24" s="341" t="s">
        <v>260</v>
      </c>
      <c r="T24" s="341" t="s">
        <v>261</v>
      </c>
      <c r="U24" s="341" t="s">
        <v>263</v>
      </c>
      <c r="V24" s="341" t="s">
        <v>258</v>
      </c>
      <c r="W24" s="358" t="s">
        <v>260</v>
      </c>
      <c r="X24" s="341" t="s">
        <v>266</v>
      </c>
    </row>
    <row r="25" spans="1:24" ht="15.6" x14ac:dyDescent="0.3">
      <c r="A25" s="65"/>
      <c r="B25" s="595"/>
      <c r="C25" s="601"/>
      <c r="D25" s="601"/>
      <c r="E25" s="601"/>
      <c r="F25" s="601"/>
      <c r="G25" s="379" t="s">
        <v>347</v>
      </c>
      <c r="H25" s="348" t="s">
        <v>98</v>
      </c>
      <c r="I25" s="349" t="s">
        <v>348</v>
      </c>
      <c r="J25" s="384" t="s">
        <v>349</v>
      </c>
      <c r="K25" s="423" t="s">
        <v>341</v>
      </c>
      <c r="L25" s="416"/>
      <c r="M25" s="342" t="s">
        <v>252</v>
      </c>
      <c r="N25" s="342" t="s">
        <v>253</v>
      </c>
      <c r="O25" s="342" t="s">
        <v>253</v>
      </c>
      <c r="P25" s="359" t="s">
        <v>257</v>
      </c>
      <c r="Q25" s="342" t="s">
        <v>257</v>
      </c>
      <c r="R25" s="359" t="s">
        <v>259</v>
      </c>
      <c r="S25" s="342" t="s">
        <v>259</v>
      </c>
      <c r="T25" s="342" t="s">
        <v>262</v>
      </c>
      <c r="U25" s="342" t="s">
        <v>264</v>
      </c>
      <c r="V25" s="342" t="s">
        <v>265</v>
      </c>
      <c r="W25" s="359" t="s">
        <v>265</v>
      </c>
      <c r="X25" s="342" t="s">
        <v>267</v>
      </c>
    </row>
    <row r="26" spans="1:24" ht="15" x14ac:dyDescent="0.3">
      <c r="A26" s="438"/>
      <c r="B26" s="595"/>
      <c r="C26" s="601"/>
      <c r="D26" s="601"/>
      <c r="E26" s="601"/>
      <c r="F26" s="601"/>
      <c r="G26" s="380" t="s">
        <v>350</v>
      </c>
      <c r="H26" s="350" t="s">
        <v>25</v>
      </c>
      <c r="I26" s="351" t="s">
        <v>23</v>
      </c>
      <c r="J26" s="385" t="s">
        <v>351</v>
      </c>
      <c r="K26" s="424"/>
      <c r="L26" s="417"/>
      <c r="M26" s="343" t="s">
        <v>342</v>
      </c>
      <c r="N26" s="343" t="s">
        <v>22</v>
      </c>
      <c r="O26" s="343" t="s">
        <v>22</v>
      </c>
      <c r="P26" s="343" t="s">
        <v>24</v>
      </c>
      <c r="Q26" s="343" t="s">
        <v>29</v>
      </c>
      <c r="R26" s="343" t="s">
        <v>86</v>
      </c>
      <c r="S26" s="343" t="s">
        <v>89</v>
      </c>
      <c r="T26" s="343" t="s">
        <v>86</v>
      </c>
      <c r="U26" s="343" t="s">
        <v>87</v>
      </c>
      <c r="V26" s="343" t="s">
        <v>86</v>
      </c>
      <c r="W26" s="343" t="s">
        <v>89</v>
      </c>
      <c r="X26" s="343" t="s">
        <v>86</v>
      </c>
    </row>
    <row r="27" spans="1:24" ht="15.6" x14ac:dyDescent="0.3">
      <c r="A27" s="440"/>
      <c r="B27" s="149" t="s">
        <v>178</v>
      </c>
      <c r="C27" s="50">
        <v>0</v>
      </c>
      <c r="D27" s="177">
        <v>0</v>
      </c>
      <c r="E27" s="177">
        <v>0</v>
      </c>
      <c r="F27" s="177" t="s">
        <v>111</v>
      </c>
      <c r="G27" s="344"/>
      <c r="H27" s="344"/>
      <c r="I27" s="344"/>
      <c r="J27" s="345"/>
      <c r="K27" s="453" t="s">
        <v>243</v>
      </c>
      <c r="L27" s="419"/>
      <c r="M27" s="371"/>
      <c r="N27" s="352"/>
      <c r="O27" s="352"/>
      <c r="P27" s="360">
        <v>90.000304222106934</v>
      </c>
      <c r="Q27" s="352">
        <v>12.780043199539184</v>
      </c>
      <c r="R27" s="360">
        <v>3.362096002143828</v>
      </c>
      <c r="S27" s="167">
        <v>252.02646143391823</v>
      </c>
      <c r="T27" s="167">
        <v>1984.4787576924198</v>
      </c>
      <c r="U27" s="355"/>
      <c r="V27" s="352">
        <v>3.362096002143828</v>
      </c>
      <c r="W27" s="363">
        <v>252.02646143391823</v>
      </c>
      <c r="X27" s="352"/>
    </row>
    <row r="28" spans="1:24" ht="15.6" x14ac:dyDescent="0.3">
      <c r="A28" s="438"/>
      <c r="B28" s="149" t="s">
        <v>179</v>
      </c>
      <c r="C28" s="50">
        <v>0</v>
      </c>
      <c r="D28" s="177">
        <v>0</v>
      </c>
      <c r="E28" s="177" t="s">
        <v>110</v>
      </c>
      <c r="F28" s="177" t="s">
        <v>111</v>
      </c>
      <c r="G28" s="344"/>
      <c r="H28" s="344"/>
      <c r="I28" s="344"/>
      <c r="J28" s="345"/>
      <c r="K28" s="454" t="s">
        <v>244</v>
      </c>
      <c r="L28" s="419"/>
      <c r="M28" s="372"/>
      <c r="N28" s="352"/>
      <c r="O28" s="352">
        <v>20.668958564800572</v>
      </c>
      <c r="P28" s="360">
        <v>205.81804084777832</v>
      </c>
      <c r="Q28" s="352">
        <v>29.226161800384521</v>
      </c>
      <c r="R28" s="360">
        <v>6.1928472203604574</v>
      </c>
      <c r="S28" s="167">
        <v>464.22272598792802</v>
      </c>
      <c r="T28" s="167">
        <v>1078.0997628707514</v>
      </c>
      <c r="U28" s="355"/>
      <c r="V28" s="352">
        <v>6.1928472203604574</v>
      </c>
      <c r="W28" s="363">
        <v>464.22272598792802</v>
      </c>
      <c r="X28" s="352"/>
    </row>
    <row r="29" spans="1:24" ht="15.6" x14ac:dyDescent="0.3">
      <c r="A29" s="438"/>
      <c r="B29" s="149" t="s">
        <v>180</v>
      </c>
      <c r="C29" s="50">
        <v>50</v>
      </c>
      <c r="D29" s="177">
        <v>0</v>
      </c>
      <c r="E29" s="177">
        <v>0</v>
      </c>
      <c r="F29" s="177" t="s">
        <v>147</v>
      </c>
      <c r="G29" s="344"/>
      <c r="H29" s="344"/>
      <c r="I29" s="344"/>
      <c r="J29" s="346"/>
      <c r="K29" s="453" t="s">
        <v>395</v>
      </c>
      <c r="L29" s="418"/>
      <c r="M29" s="371"/>
      <c r="N29" s="352"/>
      <c r="O29" s="352"/>
      <c r="P29" s="360">
        <v>56.472159385681152</v>
      </c>
      <c r="Q29" s="352">
        <v>8.0190466327667238</v>
      </c>
      <c r="R29" s="360">
        <v>5.3605390079154418</v>
      </c>
      <c r="S29" s="167">
        <v>401.83197525649376</v>
      </c>
      <c r="T29" s="167">
        <v>1245.193576516572</v>
      </c>
      <c r="U29" s="355"/>
      <c r="V29" s="352">
        <v>5.3605390079154418</v>
      </c>
      <c r="W29" s="363">
        <v>401.83197525649376</v>
      </c>
      <c r="X29" s="352"/>
    </row>
    <row r="30" spans="1:24" ht="15.6" x14ac:dyDescent="0.3">
      <c r="A30" s="441">
        <v>1</v>
      </c>
      <c r="B30" s="202" t="s">
        <v>325</v>
      </c>
      <c r="C30" s="44">
        <v>0</v>
      </c>
      <c r="D30" s="178" t="s">
        <v>149</v>
      </c>
      <c r="E30" s="178" t="s">
        <v>326</v>
      </c>
      <c r="F30" s="179" t="s">
        <v>111</v>
      </c>
      <c r="G30" s="344"/>
      <c r="H30" s="344"/>
      <c r="I30" s="344"/>
      <c r="J30" s="345"/>
      <c r="K30" s="455" t="s">
        <v>401</v>
      </c>
      <c r="L30" s="420"/>
      <c r="M30" s="373">
        <v>920</v>
      </c>
      <c r="N30" s="374">
        <v>7.0840000000000005</v>
      </c>
      <c r="O30" s="353"/>
      <c r="P30" s="361">
        <v>111.94336605072021</v>
      </c>
      <c r="Q30" s="353">
        <v>15.89595797920227</v>
      </c>
      <c r="R30" s="361">
        <v>4.018874021559002</v>
      </c>
      <c r="S30" s="110">
        <v>301.25927336886502</v>
      </c>
      <c r="T30" s="110">
        <v>1660.3693271922309</v>
      </c>
      <c r="U30" s="356">
        <v>47.726351306630626</v>
      </c>
      <c r="V30" s="353">
        <v>2.70338721680129</v>
      </c>
      <c r="W30" s="364">
        <v>202.64891713433332</v>
      </c>
      <c r="X30" s="353">
        <v>2.9737259384814192</v>
      </c>
    </row>
    <row r="31" spans="1:24" ht="15.6" x14ac:dyDescent="0.3">
      <c r="A31" s="441">
        <v>2</v>
      </c>
      <c r="B31" s="203" t="s">
        <v>327</v>
      </c>
      <c r="C31" s="141">
        <v>0</v>
      </c>
      <c r="D31" s="180" t="s">
        <v>326</v>
      </c>
      <c r="E31" s="180" t="s">
        <v>110</v>
      </c>
      <c r="F31" s="180" t="s">
        <v>111</v>
      </c>
      <c r="G31" s="344"/>
      <c r="H31" s="344"/>
      <c r="I31" s="344"/>
      <c r="J31" s="345"/>
      <c r="K31" s="456" t="s">
        <v>244</v>
      </c>
      <c r="L31" s="421"/>
      <c r="M31" s="375"/>
      <c r="N31" s="354"/>
      <c r="O31" s="354">
        <v>20.668958564800572</v>
      </c>
      <c r="P31" s="362">
        <v>205.81804084777832</v>
      </c>
      <c r="Q31" s="354">
        <v>29.226161800384521</v>
      </c>
      <c r="R31" s="362">
        <v>6.1928472203604574</v>
      </c>
      <c r="S31" s="111">
        <v>464.22272598792802</v>
      </c>
      <c r="T31" s="111">
        <v>1078.0997628707514</v>
      </c>
      <c r="U31" s="357"/>
      <c r="V31" s="354">
        <v>6.1928472203604574</v>
      </c>
      <c r="W31" s="365">
        <v>464.22272598792802</v>
      </c>
      <c r="X31" s="354"/>
    </row>
    <row r="32" spans="1:24" ht="15.6" x14ac:dyDescent="0.3">
      <c r="A32" s="441">
        <v>3</v>
      </c>
      <c r="B32" s="202" t="s">
        <v>328</v>
      </c>
      <c r="C32" s="44">
        <v>0</v>
      </c>
      <c r="D32" s="178" t="s">
        <v>110</v>
      </c>
      <c r="E32" s="178" t="s">
        <v>110</v>
      </c>
      <c r="F32" s="179" t="s">
        <v>111</v>
      </c>
      <c r="G32" s="347"/>
      <c r="H32" s="347"/>
      <c r="I32" s="347"/>
      <c r="J32" s="345"/>
      <c r="K32" s="455" t="s">
        <v>338</v>
      </c>
      <c r="L32" s="420"/>
      <c r="M32" s="373">
        <v>530</v>
      </c>
      <c r="N32" s="374">
        <v>13.621</v>
      </c>
      <c r="O32" s="353">
        <v>16.998515172000001</v>
      </c>
      <c r="P32" s="361">
        <v>205.81804084777832</v>
      </c>
      <c r="Q32" s="353">
        <v>29.226161800384521</v>
      </c>
      <c r="R32" s="361">
        <v>6.1928472203604574</v>
      </c>
      <c r="S32" s="110">
        <v>464.22272598792802</v>
      </c>
      <c r="T32" s="110">
        <v>1078.0997628707514</v>
      </c>
      <c r="U32" s="356">
        <v>30.162502644895202</v>
      </c>
      <c r="V32" s="353">
        <v>5.3543607433436069</v>
      </c>
      <c r="W32" s="364">
        <v>401.36884566208323</v>
      </c>
      <c r="X32" s="353">
        <v>3.1116197911806553</v>
      </c>
    </row>
    <row r="33" spans="1:24" ht="15.6" x14ac:dyDescent="0.3">
      <c r="A33" s="441">
        <v>4</v>
      </c>
      <c r="B33" s="203" t="s">
        <v>329</v>
      </c>
      <c r="C33" s="141">
        <v>-40</v>
      </c>
      <c r="D33" s="180">
        <v>0</v>
      </c>
      <c r="E33" s="180">
        <v>0</v>
      </c>
      <c r="F33" s="180" t="s">
        <v>111</v>
      </c>
      <c r="G33" s="347"/>
      <c r="H33" s="347"/>
      <c r="I33" s="347"/>
      <c r="J33" s="345"/>
      <c r="K33" s="456" t="s">
        <v>408</v>
      </c>
      <c r="L33" s="421"/>
      <c r="M33" s="375"/>
      <c r="N33" s="354"/>
      <c r="O33" s="354"/>
      <c r="P33" s="362">
        <v>121.45532894134521</v>
      </c>
      <c r="Q33" s="354">
        <v>17.246656709671022</v>
      </c>
      <c r="R33" s="362">
        <v>2.4910488132824788</v>
      </c>
      <c r="S33" s="111">
        <v>186.73179387811163</v>
      </c>
      <c r="T33" s="111">
        <v>2678.0522841104066</v>
      </c>
      <c r="U33" s="357"/>
      <c r="V33" s="354">
        <v>2.4910488132824788</v>
      </c>
      <c r="W33" s="365">
        <v>186.73179387811163</v>
      </c>
      <c r="X33" s="354"/>
    </row>
    <row r="34" spans="1:24" ht="15.6" x14ac:dyDescent="0.3">
      <c r="A34" s="441">
        <v>5</v>
      </c>
      <c r="B34" s="202" t="s">
        <v>330</v>
      </c>
      <c r="C34" s="44">
        <v>-20</v>
      </c>
      <c r="D34" s="178" t="s">
        <v>110</v>
      </c>
      <c r="E34" s="178">
        <v>0</v>
      </c>
      <c r="F34" s="179" t="s">
        <v>111</v>
      </c>
      <c r="G34" s="347"/>
      <c r="H34" s="347"/>
      <c r="I34" s="347"/>
      <c r="J34" s="345"/>
      <c r="K34" s="455" t="s">
        <v>409</v>
      </c>
      <c r="L34" s="420"/>
      <c r="M34" s="373">
        <v>530</v>
      </c>
      <c r="N34" s="374">
        <v>4.0810000000000004</v>
      </c>
      <c r="O34" s="353"/>
      <c r="P34" s="361">
        <v>112.22156047821045</v>
      </c>
      <c r="Q34" s="353">
        <v>15.935461587905884</v>
      </c>
      <c r="R34" s="361">
        <v>3.192075314734081</v>
      </c>
      <c r="S34" s="110">
        <v>239.28152131587345</v>
      </c>
      <c r="T34" s="110">
        <v>2090.1206503688004</v>
      </c>
      <c r="U34" s="356">
        <v>32.362284749485347</v>
      </c>
      <c r="V34" s="353">
        <v>2.6962844392418437</v>
      </c>
      <c r="W34" s="364">
        <v>202.11648501653593</v>
      </c>
      <c r="X34" s="353">
        <v>1.7086237261717339</v>
      </c>
    </row>
    <row r="35" spans="1:24" ht="15.6" x14ac:dyDescent="0.3">
      <c r="A35" s="441">
        <v>6</v>
      </c>
      <c r="B35" s="203" t="s">
        <v>331</v>
      </c>
      <c r="C35" s="141">
        <v>-20</v>
      </c>
      <c r="D35" s="180" t="s">
        <v>326</v>
      </c>
      <c r="E35" s="180" t="s">
        <v>326</v>
      </c>
      <c r="F35" s="180" t="s">
        <v>111</v>
      </c>
      <c r="G35" s="347"/>
      <c r="H35" s="347"/>
      <c r="I35" s="347"/>
      <c r="J35" s="345"/>
      <c r="K35" s="456" t="s">
        <v>402</v>
      </c>
      <c r="L35" s="421"/>
      <c r="M35" s="375"/>
      <c r="N35" s="354"/>
      <c r="O35" s="354"/>
      <c r="P35" s="362">
        <v>104.23585605621338</v>
      </c>
      <c r="Q35" s="354">
        <v>14.801491559982299</v>
      </c>
      <c r="R35" s="362">
        <v>2.9027240586393668</v>
      </c>
      <c r="S35" s="111">
        <v>217.59142884423954</v>
      </c>
      <c r="T35" s="111">
        <v>2298.3682546556365</v>
      </c>
      <c r="U35" s="357"/>
      <c r="V35" s="354">
        <v>2.9027240586393668</v>
      </c>
      <c r="W35" s="365">
        <v>217.59142884423954</v>
      </c>
      <c r="X35" s="354"/>
    </row>
    <row r="36" spans="1:24" ht="15.6" x14ac:dyDescent="0.3">
      <c r="A36" s="441">
        <v>7</v>
      </c>
      <c r="B36" s="202"/>
      <c r="C36" s="44"/>
      <c r="D36" s="178"/>
      <c r="E36" s="178"/>
      <c r="F36" s="179"/>
      <c r="G36" s="347"/>
      <c r="H36" s="347"/>
      <c r="I36" s="347"/>
      <c r="J36" s="345"/>
      <c r="K36" s="455"/>
      <c r="L36" s="420"/>
      <c r="M36" s="373"/>
      <c r="N36" s="374"/>
      <c r="O36" s="353"/>
      <c r="P36" s="361"/>
      <c r="Q36" s="353"/>
      <c r="R36" s="361"/>
      <c r="S36" s="110"/>
      <c r="T36" s="110"/>
      <c r="U36" s="356"/>
      <c r="V36" s="353"/>
      <c r="W36" s="364"/>
      <c r="X36" s="353"/>
    </row>
    <row r="37" spans="1:24" ht="15.6" x14ac:dyDescent="0.3">
      <c r="A37" s="441">
        <v>8</v>
      </c>
      <c r="B37" s="203"/>
      <c r="C37" s="141"/>
      <c r="D37" s="180"/>
      <c r="E37" s="180"/>
      <c r="F37" s="180"/>
      <c r="G37" s="347"/>
      <c r="H37" s="347"/>
      <c r="I37" s="347"/>
      <c r="J37" s="345"/>
      <c r="K37" s="456"/>
      <c r="L37" s="421"/>
      <c r="M37" s="375"/>
      <c r="N37" s="354"/>
      <c r="O37" s="354"/>
      <c r="P37" s="362"/>
      <c r="Q37" s="354"/>
      <c r="R37" s="362"/>
      <c r="S37" s="111"/>
      <c r="T37" s="111"/>
      <c r="U37" s="357"/>
      <c r="V37" s="354"/>
      <c r="W37" s="365"/>
      <c r="X37" s="354"/>
    </row>
    <row r="38" spans="1:24" ht="15.6" x14ac:dyDescent="0.3">
      <c r="A38" s="441">
        <v>9</v>
      </c>
      <c r="B38" s="202"/>
      <c r="C38" s="44"/>
      <c r="D38" s="178"/>
      <c r="E38" s="178"/>
      <c r="F38" s="179"/>
      <c r="G38" s="347"/>
      <c r="H38" s="347"/>
      <c r="I38" s="347"/>
      <c r="J38" s="345"/>
      <c r="K38" s="455"/>
      <c r="L38" s="420"/>
      <c r="M38" s="373"/>
      <c r="N38" s="353"/>
      <c r="O38" s="353"/>
      <c r="P38" s="361"/>
      <c r="Q38" s="353"/>
      <c r="R38" s="361"/>
      <c r="S38" s="110"/>
      <c r="T38" s="110"/>
      <c r="U38" s="356"/>
      <c r="V38" s="353"/>
      <c r="W38" s="364"/>
      <c r="X38" s="353"/>
    </row>
    <row r="39" spans="1:24" ht="15.6" x14ac:dyDescent="0.3">
      <c r="A39" s="441">
        <v>10</v>
      </c>
      <c r="B39" s="203"/>
      <c r="C39" s="141"/>
      <c r="D39" s="180"/>
      <c r="E39" s="180"/>
      <c r="F39" s="180"/>
      <c r="G39" s="347"/>
      <c r="H39" s="347"/>
      <c r="I39" s="347"/>
      <c r="J39" s="345"/>
      <c r="K39" s="456"/>
      <c r="L39" s="421"/>
      <c r="M39" s="375"/>
      <c r="N39" s="354"/>
      <c r="O39" s="354"/>
      <c r="P39" s="362"/>
      <c r="Q39" s="354"/>
      <c r="R39" s="362"/>
      <c r="S39" s="111"/>
      <c r="T39" s="111"/>
      <c r="U39" s="357"/>
      <c r="V39" s="354"/>
      <c r="W39" s="365"/>
      <c r="X39" s="354"/>
    </row>
    <row r="40" spans="1:24" ht="15.6" x14ac:dyDescent="0.3">
      <c r="A40" s="441">
        <v>11</v>
      </c>
      <c r="B40" s="202"/>
      <c r="C40" s="44"/>
      <c r="D40" s="178"/>
      <c r="E40" s="178"/>
      <c r="F40" s="179"/>
      <c r="G40" s="347"/>
      <c r="H40" s="347"/>
      <c r="I40" s="347"/>
      <c r="J40" s="345"/>
      <c r="K40" s="455"/>
      <c r="L40" s="420"/>
      <c r="M40" s="373"/>
      <c r="N40" s="374"/>
      <c r="O40" s="353"/>
      <c r="P40" s="361"/>
      <c r="Q40" s="353"/>
      <c r="R40" s="361"/>
      <c r="S40" s="110"/>
      <c r="T40" s="110"/>
      <c r="U40" s="356"/>
      <c r="V40" s="353"/>
      <c r="W40" s="364"/>
      <c r="X40" s="353"/>
    </row>
    <row r="41" spans="1:24" ht="15.6" x14ac:dyDescent="0.3">
      <c r="A41" s="441">
        <v>12</v>
      </c>
      <c r="B41" s="203"/>
      <c r="C41" s="141"/>
      <c r="D41" s="180"/>
      <c r="E41" s="180"/>
      <c r="F41" s="180"/>
      <c r="G41" s="347"/>
      <c r="H41" s="347"/>
      <c r="I41" s="347"/>
      <c r="J41" s="345"/>
      <c r="K41" s="456"/>
      <c r="L41" s="421"/>
      <c r="M41" s="375"/>
      <c r="N41" s="354"/>
      <c r="O41" s="354"/>
      <c r="P41" s="362"/>
      <c r="Q41" s="354"/>
      <c r="R41" s="362"/>
      <c r="S41" s="111"/>
      <c r="T41" s="111"/>
      <c r="U41" s="357"/>
      <c r="V41" s="354"/>
      <c r="W41" s="365"/>
      <c r="X41" s="354"/>
    </row>
    <row r="42" spans="1:24" ht="15.6" x14ac:dyDescent="0.3">
      <c r="A42" s="441">
        <v>13</v>
      </c>
      <c r="B42" s="202"/>
      <c r="C42" s="44"/>
      <c r="D42" s="178"/>
      <c r="E42" s="178"/>
      <c r="F42" s="179"/>
      <c r="G42" s="347"/>
      <c r="H42" s="347"/>
      <c r="I42" s="347"/>
      <c r="J42" s="345"/>
      <c r="K42" s="455"/>
      <c r="L42" s="420"/>
      <c r="M42" s="373"/>
      <c r="N42" s="353"/>
      <c r="O42" s="353"/>
      <c r="P42" s="361"/>
      <c r="Q42" s="353"/>
      <c r="R42" s="361"/>
      <c r="S42" s="110"/>
      <c r="T42" s="110"/>
      <c r="U42" s="356"/>
      <c r="V42" s="353"/>
      <c r="W42" s="364"/>
      <c r="X42" s="353"/>
    </row>
    <row r="43" spans="1:24" ht="15.6" x14ac:dyDescent="0.3">
      <c r="A43" s="441">
        <v>14</v>
      </c>
      <c r="B43" s="203"/>
      <c r="C43" s="141"/>
      <c r="D43" s="180"/>
      <c r="E43" s="180"/>
      <c r="F43" s="180"/>
      <c r="G43" s="347"/>
      <c r="H43" s="347"/>
      <c r="I43" s="347"/>
      <c r="J43" s="345"/>
      <c r="K43" s="456"/>
      <c r="L43" s="421"/>
      <c r="M43" s="375"/>
      <c r="N43" s="354"/>
      <c r="O43" s="354"/>
      <c r="P43" s="362"/>
      <c r="Q43" s="354"/>
      <c r="R43" s="362"/>
      <c r="S43" s="111"/>
      <c r="T43" s="111"/>
      <c r="U43" s="357"/>
      <c r="V43" s="354"/>
      <c r="W43" s="365"/>
      <c r="X43" s="354"/>
    </row>
    <row r="44" spans="1:24" ht="15.6" x14ac:dyDescent="0.3">
      <c r="A44" s="441">
        <v>15</v>
      </c>
      <c r="B44" s="202"/>
      <c r="C44" s="44"/>
      <c r="D44" s="178"/>
      <c r="E44" s="178"/>
      <c r="F44" s="179"/>
      <c r="G44" s="347"/>
      <c r="H44" s="347"/>
      <c r="I44" s="347"/>
      <c r="J44" s="345"/>
      <c r="K44" s="455"/>
      <c r="L44" s="420"/>
      <c r="M44" s="373"/>
      <c r="N44" s="353"/>
      <c r="O44" s="353"/>
      <c r="P44" s="361"/>
      <c r="Q44" s="353"/>
      <c r="R44" s="361"/>
      <c r="S44" s="110"/>
      <c r="T44" s="110"/>
      <c r="U44" s="356"/>
      <c r="V44" s="353"/>
      <c r="W44" s="364"/>
      <c r="X44" s="353"/>
    </row>
    <row r="45" spans="1:24" ht="15.6" x14ac:dyDescent="0.3">
      <c r="A45" s="441">
        <v>16</v>
      </c>
      <c r="B45" s="203"/>
      <c r="C45" s="141"/>
      <c r="D45" s="180"/>
      <c r="E45" s="180"/>
      <c r="F45" s="180"/>
      <c r="G45" s="347"/>
      <c r="H45" s="347"/>
      <c r="I45" s="347"/>
      <c r="J45" s="345"/>
      <c r="K45" s="456"/>
      <c r="L45" s="421"/>
      <c r="M45" s="375"/>
      <c r="N45" s="354"/>
      <c r="O45" s="354"/>
      <c r="P45" s="362"/>
      <c r="Q45" s="354"/>
      <c r="R45" s="362"/>
      <c r="S45" s="111"/>
      <c r="T45" s="111"/>
      <c r="U45" s="357"/>
      <c r="V45" s="354"/>
      <c r="W45" s="365"/>
      <c r="X45" s="354"/>
    </row>
    <row r="46" spans="1:24" ht="15.6" x14ac:dyDescent="0.3">
      <c r="A46" s="441">
        <v>17</v>
      </c>
      <c r="B46" s="202"/>
      <c r="C46" s="44"/>
      <c r="D46" s="178"/>
      <c r="E46" s="178"/>
      <c r="F46" s="179"/>
      <c r="G46" s="347"/>
      <c r="H46" s="347"/>
      <c r="I46" s="347"/>
      <c r="J46" s="345"/>
      <c r="K46" s="455"/>
      <c r="L46" s="420"/>
      <c r="M46" s="373"/>
      <c r="N46" s="374"/>
      <c r="O46" s="353"/>
      <c r="P46" s="361"/>
      <c r="Q46" s="353"/>
      <c r="R46" s="361"/>
      <c r="S46" s="110"/>
      <c r="T46" s="110"/>
      <c r="U46" s="356"/>
      <c r="V46" s="353"/>
      <c r="W46" s="364"/>
      <c r="X46" s="353"/>
    </row>
    <row r="47" spans="1:24" ht="15.6" x14ac:dyDescent="0.3">
      <c r="A47" s="441">
        <v>18</v>
      </c>
      <c r="B47" s="203"/>
      <c r="C47" s="141"/>
      <c r="D47" s="180"/>
      <c r="E47" s="180"/>
      <c r="F47" s="180"/>
      <c r="G47" s="347"/>
      <c r="H47" s="347"/>
      <c r="I47" s="347"/>
      <c r="J47" s="345"/>
      <c r="K47" s="456"/>
      <c r="L47" s="421"/>
      <c r="M47" s="375"/>
      <c r="N47" s="354"/>
      <c r="O47" s="354"/>
      <c r="P47" s="362"/>
      <c r="Q47" s="354"/>
      <c r="R47" s="362"/>
      <c r="S47" s="111"/>
      <c r="T47" s="111"/>
      <c r="U47" s="357"/>
      <c r="V47" s="354"/>
      <c r="W47" s="365"/>
      <c r="X47" s="354"/>
    </row>
    <row r="48" spans="1:24" ht="15.6" x14ac:dyDescent="0.3">
      <c r="A48" s="441">
        <v>19</v>
      </c>
      <c r="B48" s="202"/>
      <c r="C48" s="44"/>
      <c r="D48" s="178"/>
      <c r="E48" s="178"/>
      <c r="F48" s="179"/>
      <c r="G48" s="347"/>
      <c r="H48" s="347"/>
      <c r="I48" s="347"/>
      <c r="J48" s="345"/>
      <c r="K48" s="455"/>
      <c r="L48" s="420"/>
      <c r="M48" s="373"/>
      <c r="N48" s="374"/>
      <c r="O48" s="353"/>
      <c r="P48" s="361"/>
      <c r="Q48" s="353"/>
      <c r="R48" s="361"/>
      <c r="S48" s="110"/>
      <c r="T48" s="110"/>
      <c r="U48" s="356"/>
      <c r="V48" s="353"/>
      <c r="W48" s="364"/>
      <c r="X48" s="353"/>
    </row>
    <row r="49" spans="1:24" ht="15.6" x14ac:dyDescent="0.3">
      <c r="A49" s="442">
        <v>20</v>
      </c>
      <c r="B49" s="203"/>
      <c r="C49" s="141"/>
      <c r="D49" s="180"/>
      <c r="E49" s="180"/>
      <c r="F49" s="180"/>
      <c r="G49" s="347"/>
      <c r="H49" s="347"/>
      <c r="I49" s="347"/>
      <c r="J49" s="345"/>
      <c r="K49" s="456"/>
      <c r="L49" s="421"/>
      <c r="M49" s="375"/>
      <c r="N49" s="354"/>
      <c r="O49" s="354"/>
      <c r="P49" s="362"/>
      <c r="Q49" s="354"/>
      <c r="R49" s="362"/>
      <c r="S49" s="111"/>
      <c r="T49" s="111"/>
      <c r="U49" s="357"/>
      <c r="V49" s="354"/>
      <c r="W49" s="365"/>
      <c r="X49" s="354"/>
    </row>
    <row r="51" spans="1:24" x14ac:dyDescent="0.3">
      <c r="P51" t="s">
        <v>394</v>
      </c>
    </row>
  </sheetData>
  <mergeCells count="38">
    <mergeCell ref="B24:B26"/>
    <mergeCell ref="G22:G24"/>
    <mergeCell ref="H22:H24"/>
    <mergeCell ref="I22:I24"/>
    <mergeCell ref="J22:J24"/>
    <mergeCell ref="C24:C26"/>
    <mergeCell ref="D24:D26"/>
    <mergeCell ref="E24:E26"/>
    <mergeCell ref="F24:F26"/>
    <mergeCell ref="G21:J21"/>
    <mergeCell ref="W10:X10"/>
    <mergeCell ref="W7:X7"/>
    <mergeCell ref="P23:Q23"/>
    <mergeCell ref="R23:T23"/>
    <mergeCell ref="V23:W23"/>
    <mergeCell ref="G17:H17"/>
    <mergeCell ref="G18:H18"/>
    <mergeCell ref="G20:J20"/>
    <mergeCell ref="G11:H11"/>
    <mergeCell ref="G12:H12"/>
    <mergeCell ref="G13:H13"/>
    <mergeCell ref="B8:K8"/>
    <mergeCell ref="O4:S4"/>
    <mergeCell ref="M1:N1"/>
    <mergeCell ref="M2:N2"/>
    <mergeCell ref="M3:N3"/>
    <mergeCell ref="M4:N4"/>
    <mergeCell ref="O1:S1"/>
    <mergeCell ref="O2:S2"/>
    <mergeCell ref="O3:S3"/>
    <mergeCell ref="W5:X5"/>
    <mergeCell ref="W9:X9"/>
    <mergeCell ref="W3:X3"/>
    <mergeCell ref="V2:X2"/>
    <mergeCell ref="V1:X1"/>
    <mergeCell ref="W4:X4"/>
    <mergeCell ref="W6:X6"/>
    <mergeCell ref="W8:X8"/>
  </mergeCells>
  <conditionalFormatting sqref="G18:H18">
    <cfRule type="cellIs" dxfId="14" priority="9" operator="notEqual">
      <formula>$C$29</formula>
    </cfRule>
  </conditionalFormatting>
  <conditionalFormatting sqref="P27:P49">
    <cfRule type="cellIs" dxfId="13" priority="1" operator="greaterThan">
      <formula>$O$11</formula>
    </cfRule>
  </conditionalFormatting>
  <pageMargins left="0.82677165354330717" right="0.23622047244094491" top="0.74803149606299213" bottom="0.74803149606299213" header="0.31496062992125984" footer="0.31496062992125984"/>
  <pageSetup paperSize="8" scale="90" fitToHeight="0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0" operator="notEqual" id="{4A788D3F-868C-476A-AB9D-A6712A9F090A}">
            <xm:f>'Sag-Tension'!$C$5</xm:f>
            <x14:dxf>
              <font>
                <color rgb="FFFF25E0"/>
              </font>
              <fill>
                <patternFill>
                  <bgColor rgb="FFFFC000"/>
                </patternFill>
              </fill>
            </x14:dxf>
          </x14:cfRule>
          <xm:sqref>B8:K8</xm:sqref>
        </x14:conditionalFormatting>
        <x14:conditionalFormatting xmlns:xm="http://schemas.microsoft.com/office/excel/2006/main">
          <x14:cfRule type="cellIs" priority="7" operator="notEqual" id="{C6A2F6F2-716F-4279-B01A-C498A4E185AA}">
            <xm:f>'Sag-Tension'!$C$18</xm:f>
            <x14:dxf>
              <font>
                <color rgb="FFFF25E0"/>
              </font>
              <fill>
                <patternFill>
                  <bgColor rgb="FFFFC000"/>
                </patternFill>
              </fill>
            </x14:dxf>
          </x14:cfRule>
          <xm:sqref>G11:H11</xm:sqref>
        </x14:conditionalFormatting>
        <x14:conditionalFormatting xmlns:xm="http://schemas.microsoft.com/office/excel/2006/main">
          <x14:cfRule type="cellIs" priority="6" operator="notEqual" id="{1AF2B2EA-0117-4DAE-8ED1-6754E4A90C03}">
            <xm:f>'Sag-Tension'!$C$19</xm:f>
            <x14:dxf>
              <font>
                <color rgb="FFFF25E0"/>
              </font>
              <fill>
                <patternFill>
                  <bgColor rgb="FFFFC000"/>
                </patternFill>
              </fill>
            </x14:dxf>
          </x14:cfRule>
          <xm:sqref>G12:H12</xm:sqref>
        </x14:conditionalFormatting>
        <x14:conditionalFormatting xmlns:xm="http://schemas.microsoft.com/office/excel/2006/main">
          <x14:cfRule type="cellIs" priority="5" operator="notEqual" id="{AC11EB60-79AF-45EF-A5EF-87E361DB60E6}">
            <xm:f>'Sag-Tension'!$C$20</xm:f>
            <x14:dxf>
              <font>
                <color rgb="FFFF25E0"/>
              </font>
              <fill>
                <patternFill>
                  <bgColor rgb="FFFFC000"/>
                </patternFill>
              </fill>
            </x14:dxf>
          </x14:cfRule>
          <xm:sqref>G13:H13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5"/>
  <dimension ref="A1:Y69"/>
  <sheetViews>
    <sheetView showWhiteSpace="0" view="pageBreakPreview" zoomScaleNormal="100" zoomScaleSheetLayoutView="100" workbookViewId="0">
      <selection activeCell="O57" sqref="O57"/>
    </sheetView>
  </sheetViews>
  <sheetFormatPr defaultRowHeight="14.4" x14ac:dyDescent="0.3"/>
  <cols>
    <col min="1" max="1" width="4.6640625" customWidth="1"/>
    <col min="2" max="2" width="3.109375" customWidth="1"/>
    <col min="3" max="13" width="8.6640625" customWidth="1"/>
    <col min="14" max="14" width="3.44140625" customWidth="1"/>
    <col min="15" max="15" width="13.6640625" customWidth="1"/>
    <col min="16" max="17" width="7.6640625" customWidth="1"/>
    <col min="18" max="18" width="7.33203125" customWidth="1"/>
    <col min="19" max="19" width="6.88671875" customWidth="1"/>
    <col min="20" max="20" width="8" customWidth="1"/>
    <col min="21" max="21" width="7.88671875" customWidth="1"/>
    <col min="22" max="22" width="7.44140625" customWidth="1"/>
    <col min="23" max="23" width="11.44140625" customWidth="1"/>
    <col min="24" max="24" width="14.33203125" customWidth="1"/>
  </cols>
  <sheetData>
    <row r="1" spans="1:25" ht="15.6" x14ac:dyDescent="0.3">
      <c r="A1" s="317" t="s">
        <v>336</v>
      </c>
      <c r="B1" s="318"/>
      <c r="C1" s="318"/>
      <c r="D1" s="318"/>
      <c r="E1" s="318"/>
      <c r="F1" s="318"/>
      <c r="G1" s="318"/>
      <c r="H1" s="318"/>
      <c r="I1" s="319"/>
      <c r="J1" s="319"/>
      <c r="K1" s="320"/>
      <c r="L1" s="320"/>
      <c r="M1" s="321"/>
      <c r="N1" s="59"/>
      <c r="O1" s="59"/>
      <c r="P1" s="59"/>
      <c r="Q1" s="59"/>
      <c r="R1" s="59"/>
      <c r="S1" s="59"/>
      <c r="T1" s="59"/>
      <c r="U1" s="59"/>
    </row>
    <row r="2" spans="1:25" ht="15.6" x14ac:dyDescent="0.3">
      <c r="A2" s="322" t="s">
        <v>112</v>
      </c>
      <c r="B2" s="312"/>
      <c r="C2" s="312" t="str">
        <f>P2</f>
        <v>124 OPGW (1x48 motsv. Dotterel) ASLH‐D(S)bb 1 x 48 SMF (AL3 / A20SA 82/42 ‐ 10,9)</v>
      </c>
      <c r="D2" s="312"/>
      <c r="E2" s="312"/>
      <c r="F2" s="312"/>
      <c r="G2" s="312"/>
      <c r="H2" s="312"/>
      <c r="I2" s="312"/>
      <c r="J2" s="312"/>
      <c r="K2" s="63"/>
      <c r="L2" s="63"/>
      <c r="M2" s="323"/>
      <c r="N2" s="17"/>
      <c r="O2" s="88" t="s">
        <v>140</v>
      </c>
      <c r="P2" s="89" t="s">
        <v>335</v>
      </c>
      <c r="Q2" s="63"/>
      <c r="R2" s="63"/>
      <c r="S2" s="63"/>
      <c r="T2" s="63"/>
      <c r="U2" s="63"/>
      <c r="V2" s="63"/>
      <c r="W2" s="63"/>
      <c r="X2" s="64"/>
      <c r="Y2" t="s">
        <v>204</v>
      </c>
    </row>
    <row r="3" spans="1:25" ht="17.399999999999999" x14ac:dyDescent="0.3">
      <c r="A3" s="324" t="s">
        <v>113</v>
      </c>
      <c r="B3" s="313"/>
      <c r="C3" s="313"/>
      <c r="D3" s="313"/>
      <c r="E3" s="313"/>
      <c r="F3" s="314">
        <f>P3</f>
        <v>124</v>
      </c>
      <c r="G3" s="315" t="s">
        <v>241</v>
      </c>
      <c r="H3" s="313"/>
      <c r="I3" s="313"/>
      <c r="J3" s="316"/>
      <c r="K3" s="334"/>
      <c r="L3" s="154"/>
      <c r="M3" s="335"/>
      <c r="N3" s="17"/>
      <c r="O3" s="88" t="s">
        <v>0</v>
      </c>
      <c r="P3" s="333">
        <v>124</v>
      </c>
    </row>
    <row r="4" spans="1:25" ht="16.2" x14ac:dyDescent="0.35">
      <c r="A4" s="322" t="s">
        <v>242</v>
      </c>
      <c r="B4" s="209"/>
      <c r="C4" s="209"/>
      <c r="D4" s="209"/>
      <c r="E4" s="209"/>
      <c r="F4" s="206">
        <f>P4</f>
        <v>100</v>
      </c>
      <c r="G4" s="207" t="s">
        <v>114</v>
      </c>
      <c r="H4" s="205"/>
      <c r="I4" s="205"/>
      <c r="J4" s="208"/>
      <c r="K4" s="334"/>
      <c r="L4" s="336"/>
      <c r="M4" s="335"/>
      <c r="N4" s="17"/>
      <c r="O4" s="88" t="s">
        <v>145</v>
      </c>
      <c r="P4" s="80">
        <v>100</v>
      </c>
    </row>
    <row r="5" spans="1:25" ht="16.8" thickBot="1" x14ac:dyDescent="0.4">
      <c r="A5" s="325" t="s">
        <v>115</v>
      </c>
      <c r="B5" s="326"/>
      <c r="C5" s="326"/>
      <c r="D5" s="326"/>
      <c r="E5" s="326"/>
      <c r="F5" s="327">
        <f>P5</f>
        <v>334</v>
      </c>
      <c r="G5" s="328" t="s">
        <v>116</v>
      </c>
      <c r="H5" s="329"/>
      <c r="I5" s="329"/>
      <c r="J5" s="330"/>
      <c r="K5" s="337"/>
      <c r="L5" s="338"/>
      <c r="M5" s="339"/>
      <c r="N5" s="17"/>
      <c r="O5" s="88" t="s">
        <v>141</v>
      </c>
      <c r="P5" s="80">
        <v>334</v>
      </c>
    </row>
    <row r="6" spans="1:25" ht="19.95" customHeight="1" thickBot="1" x14ac:dyDescent="0.35">
      <c r="A6" s="65"/>
      <c r="B6" s="17"/>
      <c r="C6" s="615" t="s">
        <v>117</v>
      </c>
      <c r="D6" s="615"/>
      <c r="E6" s="615"/>
      <c r="F6" s="615"/>
      <c r="G6" s="615"/>
      <c r="H6" s="615"/>
      <c r="I6" s="615"/>
      <c r="J6" s="615"/>
      <c r="K6" s="615"/>
      <c r="L6" s="615"/>
      <c r="M6" s="616"/>
      <c r="N6" s="66"/>
      <c r="P6" s="41" t="s">
        <v>118</v>
      </c>
      <c r="Q6" s="41"/>
      <c r="R6" s="41"/>
      <c r="S6" s="41"/>
      <c r="T6" s="41"/>
    </row>
    <row r="7" spans="1:25" ht="14.4" customHeight="1" x14ac:dyDescent="0.3">
      <c r="A7" s="65"/>
      <c r="B7" s="17"/>
      <c r="C7" s="602" t="s">
        <v>119</v>
      </c>
      <c r="D7" s="603"/>
      <c r="E7" s="603"/>
      <c r="F7" s="603"/>
      <c r="G7" s="603"/>
      <c r="H7" s="603"/>
      <c r="I7" s="603"/>
      <c r="J7" s="603"/>
      <c r="K7" s="603"/>
      <c r="L7" s="603"/>
      <c r="M7" s="604"/>
      <c r="N7" s="67"/>
      <c r="P7" s="90" t="s">
        <v>120</v>
      </c>
      <c r="Q7" s="90" t="s">
        <v>238</v>
      </c>
      <c r="R7" s="90" t="s">
        <v>239</v>
      </c>
      <c r="S7" s="90" t="s">
        <v>240</v>
      </c>
      <c r="T7" s="90" t="s">
        <v>144</v>
      </c>
      <c r="U7" s="90" t="s">
        <v>143</v>
      </c>
      <c r="V7" s="90" t="s">
        <v>121</v>
      </c>
      <c r="W7" s="90" t="s">
        <v>142</v>
      </c>
    </row>
    <row r="8" spans="1:25" ht="14.4" customHeight="1" thickBot="1" x14ac:dyDescent="0.35">
      <c r="A8" s="65"/>
      <c r="B8" s="17"/>
      <c r="C8" s="85">
        <f t="shared" ref="C8:L8" si="0">D8-$Q$23</f>
        <v>255</v>
      </c>
      <c r="D8" s="86">
        <f t="shared" si="0"/>
        <v>260</v>
      </c>
      <c r="E8" s="86">
        <f t="shared" si="0"/>
        <v>265</v>
      </c>
      <c r="F8" s="86">
        <f t="shared" si="0"/>
        <v>270</v>
      </c>
      <c r="G8" s="86">
        <f t="shared" si="0"/>
        <v>275</v>
      </c>
      <c r="H8" s="86">
        <f t="shared" si="0"/>
        <v>280</v>
      </c>
      <c r="I8" s="86">
        <f t="shared" si="0"/>
        <v>285</v>
      </c>
      <c r="J8" s="86">
        <f t="shared" si="0"/>
        <v>290</v>
      </c>
      <c r="K8" s="86">
        <f t="shared" si="0"/>
        <v>295</v>
      </c>
      <c r="L8" s="86">
        <f t="shared" si="0"/>
        <v>300</v>
      </c>
      <c r="M8" s="332">
        <f>IF(MOD($C$24,$Q$23)=0,$C$24-$Q$23,$C$24-$Q$24)</f>
        <v>305</v>
      </c>
      <c r="N8" s="68"/>
      <c r="O8" s="69">
        <v>1</v>
      </c>
      <c r="P8" s="204">
        <v>-40</v>
      </c>
      <c r="Q8" s="204">
        <v>0</v>
      </c>
      <c r="R8" s="204">
        <v>0</v>
      </c>
      <c r="S8" s="204" t="s">
        <v>111</v>
      </c>
      <c r="T8" s="81">
        <v>129.27144908905029</v>
      </c>
      <c r="U8" s="81">
        <v>4.6813877547411051</v>
      </c>
      <c r="V8" s="82">
        <v>167.85785631399852</v>
      </c>
      <c r="W8" s="81">
        <v>2979.4906481491148</v>
      </c>
    </row>
    <row r="9" spans="1:25" ht="14.4" customHeight="1" x14ac:dyDescent="0.3">
      <c r="A9" s="99">
        <f>P8</f>
        <v>-40</v>
      </c>
      <c r="B9" s="95" t="s">
        <v>122</v>
      </c>
      <c r="C9" s="91">
        <f t="shared" ref="C9:C21" si="1">$W8*(COSH(C$8/(2*$W8))-1)</f>
        <v>2.7284413307930895</v>
      </c>
      <c r="D9" s="91">
        <f t="shared" ref="D9:D21" si="2">$W8*(COSH(D$8/(2*$W8))-1)</f>
        <v>2.8365051674811981</v>
      </c>
      <c r="E9" s="91">
        <f t="shared" ref="E9:E21" si="3">$W8*(COSH(E$8/(2*$W8))-1)</f>
        <v>2.9466686752772135</v>
      </c>
      <c r="F9" s="91">
        <f t="shared" ref="F9:F21" si="4">$W8*(COSH(F$8/(2*$W8))-1)</f>
        <v>3.0589319317394628</v>
      </c>
      <c r="G9" s="91">
        <f t="shared" ref="G9:G21" si="5">$W8*(COSH(G$8/(2*$W8))-1)</f>
        <v>3.1732950159075481</v>
      </c>
      <c r="H9" s="91">
        <f t="shared" ref="H9:H21" si="6">$W8*(COSH(H$8/(2*$W8))-1)</f>
        <v>3.289758008296396</v>
      </c>
      <c r="I9" s="91">
        <f t="shared" ref="I9:I21" si="7">$W8*(COSH(I$8/(2*$W8))-1)</f>
        <v>3.4083209908995635</v>
      </c>
      <c r="J9" s="91">
        <f t="shared" ref="J9:J21" si="8">$W8*(COSH(J$8/(2*$W8))-1)</f>
        <v>3.5289840471905616</v>
      </c>
      <c r="K9" s="91">
        <f t="shared" ref="K9:K21" si="9">$W8*(COSH(K$8/(2*$W8))-1)</f>
        <v>3.6517472621208711</v>
      </c>
      <c r="L9" s="91">
        <f t="shared" ref="L9:L21" si="10">$W8*(COSH(L$8/(2*$W8))-1)</f>
        <v>3.7766107221206031</v>
      </c>
      <c r="M9" s="331">
        <f t="shared" ref="M9:M21" si="11">$W8*(COSH(M$8/(2*$W8))-1)</f>
        <v>3.9035745150984997</v>
      </c>
      <c r="N9" s="70"/>
      <c r="O9" s="69">
        <v>2</v>
      </c>
      <c r="P9" s="204">
        <v>-20</v>
      </c>
      <c r="Q9" s="204" t="s">
        <v>110</v>
      </c>
      <c r="R9" s="204">
        <v>0</v>
      </c>
      <c r="S9" s="204" t="s">
        <v>111</v>
      </c>
      <c r="T9" s="81">
        <v>126.83248424530029</v>
      </c>
      <c r="U9" s="81">
        <v>4.7721574428903732</v>
      </c>
      <c r="V9" s="82">
        <v>171.11253336047807</v>
      </c>
      <c r="W9" s="81">
        <v>2356.6831738003307</v>
      </c>
    </row>
    <row r="10" spans="1:25" x14ac:dyDescent="0.3">
      <c r="A10" s="100">
        <f t="shared" ref="A10:A21" si="12">P9</f>
        <v>-20</v>
      </c>
      <c r="B10" s="96" t="s">
        <v>122</v>
      </c>
      <c r="C10" s="92">
        <f t="shared" si="1"/>
        <v>3.4498093962197878</v>
      </c>
      <c r="D10" s="92">
        <f t="shared" si="2"/>
        <v>3.5864570186578657</v>
      </c>
      <c r="E10" s="92">
        <f t="shared" si="3"/>
        <v>3.7257607096145842</v>
      </c>
      <c r="F10" s="92">
        <f t="shared" si="4"/>
        <v>3.8677206258520886</v>
      </c>
      <c r="G10" s="92">
        <f t="shared" si="5"/>
        <v>4.0123369271210247</v>
      </c>
      <c r="H10" s="92">
        <f t="shared" si="6"/>
        <v>4.159609776162112</v>
      </c>
      <c r="I10" s="92">
        <f t="shared" si="7"/>
        <v>4.3095393387045702</v>
      </c>
      <c r="J10" s="92">
        <f t="shared" si="8"/>
        <v>4.4621257834682169</v>
      </c>
      <c r="K10" s="92">
        <f t="shared" si="9"/>
        <v>4.6173692821624179</v>
      </c>
      <c r="L10" s="92">
        <f t="shared" si="10"/>
        <v>4.7752700094855616</v>
      </c>
      <c r="M10" s="92">
        <f t="shared" si="11"/>
        <v>4.9358281431276829</v>
      </c>
      <c r="N10" s="70"/>
      <c r="O10" s="69">
        <v>3</v>
      </c>
      <c r="P10" s="204">
        <v>15</v>
      </c>
      <c r="Q10" s="204" t="s">
        <v>148</v>
      </c>
      <c r="R10" s="204">
        <v>0</v>
      </c>
      <c r="S10" s="204" t="s">
        <v>111</v>
      </c>
      <c r="T10" s="81">
        <v>93.271946907043457</v>
      </c>
      <c r="U10" s="81">
        <v>6.4899518067962916</v>
      </c>
      <c r="V10" s="82">
        <v>232.70650818589019</v>
      </c>
      <c r="W10" s="81">
        <v>2099.475674952957</v>
      </c>
    </row>
    <row r="11" spans="1:25" x14ac:dyDescent="0.3">
      <c r="A11" s="101">
        <f t="shared" si="12"/>
        <v>15</v>
      </c>
      <c r="B11" s="97" t="s">
        <v>122</v>
      </c>
      <c r="C11" s="91">
        <f t="shared" si="1"/>
        <v>3.8726923548224912</v>
      </c>
      <c r="D11" s="91">
        <f t="shared" si="2"/>
        <v>4.0261005645941408</v>
      </c>
      <c r="E11" s="91">
        <f t="shared" si="3"/>
        <v>4.1824914172465562</v>
      </c>
      <c r="F11" s="91">
        <f t="shared" si="4"/>
        <v>4.3418651345318624</v>
      </c>
      <c r="G11" s="91">
        <f t="shared" si="5"/>
        <v>4.5042219424341425</v>
      </c>
      <c r="H11" s="91">
        <f t="shared" si="6"/>
        <v>4.6695620711647727</v>
      </c>
      <c r="I11" s="91">
        <f t="shared" si="7"/>
        <v>4.8378857551666226</v>
      </c>
      <c r="J11" s="91">
        <f t="shared" si="8"/>
        <v>5.0091932331131179</v>
      </c>
      <c r="K11" s="91">
        <f t="shared" si="9"/>
        <v>5.1834847479082446</v>
      </c>
      <c r="L11" s="91">
        <f t="shared" si="10"/>
        <v>5.3607605466874784</v>
      </c>
      <c r="M11" s="91">
        <f t="shared" si="11"/>
        <v>5.5410208808168546</v>
      </c>
      <c r="N11" s="70"/>
      <c r="O11" s="69">
        <v>4</v>
      </c>
      <c r="P11" s="204">
        <v>0</v>
      </c>
      <c r="Q11" s="204">
        <v>0</v>
      </c>
      <c r="R11" s="204" t="s">
        <v>110</v>
      </c>
      <c r="S11" s="204" t="s">
        <v>111</v>
      </c>
      <c r="T11" s="81">
        <v>265.84377765655518</v>
      </c>
      <c r="U11" s="81">
        <v>10.976735471859906</v>
      </c>
      <c r="V11" s="82">
        <v>393.58655641507062</v>
      </c>
      <c r="W11" s="81">
        <v>1272.193851505674</v>
      </c>
    </row>
    <row r="12" spans="1:25" x14ac:dyDescent="0.3">
      <c r="A12" s="100">
        <f t="shared" si="12"/>
        <v>0</v>
      </c>
      <c r="B12" s="96" t="s">
        <v>122</v>
      </c>
      <c r="C12" s="92">
        <f t="shared" si="1"/>
        <v>6.3944112134549291</v>
      </c>
      <c r="D12" s="92">
        <f t="shared" si="2"/>
        <v>6.6478511884316767</v>
      </c>
      <c r="E12" s="92">
        <f t="shared" si="3"/>
        <v>6.9062296100145621</v>
      </c>
      <c r="F12" s="92">
        <f t="shared" si="4"/>
        <v>7.1695474759710454</v>
      </c>
      <c r="G12" s="92">
        <f t="shared" si="5"/>
        <v>7.4378058031452827</v>
      </c>
      <c r="H12" s="92">
        <f t="shared" si="6"/>
        <v>7.711005627457558</v>
      </c>
      <c r="I12" s="92">
        <f t="shared" si="7"/>
        <v>7.9891480039124785</v>
      </c>
      <c r="J12" s="92">
        <f t="shared" si="8"/>
        <v>8.2722340065995379</v>
      </c>
      <c r="K12" s="92">
        <f t="shared" si="9"/>
        <v>8.5602647286998952</v>
      </c>
      <c r="L12" s="92">
        <f t="shared" si="10"/>
        <v>8.8532412824889199</v>
      </c>
      <c r="M12" s="92">
        <f t="shared" si="11"/>
        <v>9.1511647993412719</v>
      </c>
      <c r="N12" s="70"/>
      <c r="O12" s="69">
        <v>5</v>
      </c>
      <c r="P12" s="204">
        <v>0</v>
      </c>
      <c r="Q12" s="204" t="s">
        <v>110</v>
      </c>
      <c r="R12" s="204" t="s">
        <v>110</v>
      </c>
      <c r="S12" s="204" t="s">
        <v>111</v>
      </c>
      <c r="T12" s="81">
        <v>265.84377765655518</v>
      </c>
      <c r="U12" s="81">
        <v>9.3722284491473005</v>
      </c>
      <c r="V12" s="82">
        <v>336.05466130543579</v>
      </c>
      <c r="W12" s="81">
        <v>1272.193851505674</v>
      </c>
    </row>
    <row r="13" spans="1:25" x14ac:dyDescent="0.3">
      <c r="A13" s="101">
        <f t="shared" si="12"/>
        <v>0</v>
      </c>
      <c r="B13" s="97" t="s">
        <v>122</v>
      </c>
      <c r="C13" s="91">
        <f t="shared" si="1"/>
        <v>6.3944112134549291</v>
      </c>
      <c r="D13" s="91">
        <f t="shared" si="2"/>
        <v>6.6478511884316767</v>
      </c>
      <c r="E13" s="91">
        <f t="shared" si="3"/>
        <v>6.9062296100145621</v>
      </c>
      <c r="F13" s="91">
        <f t="shared" si="4"/>
        <v>7.1695474759710454</v>
      </c>
      <c r="G13" s="91">
        <f t="shared" si="5"/>
        <v>7.4378058031452827</v>
      </c>
      <c r="H13" s="91">
        <f t="shared" si="6"/>
        <v>7.711005627457558</v>
      </c>
      <c r="I13" s="91">
        <f t="shared" si="7"/>
        <v>7.9891480039124785</v>
      </c>
      <c r="J13" s="91">
        <f t="shared" si="8"/>
        <v>8.2722340065995379</v>
      </c>
      <c r="K13" s="91">
        <f t="shared" si="9"/>
        <v>8.5602647286998952</v>
      </c>
      <c r="L13" s="91">
        <f t="shared" si="10"/>
        <v>8.8532412824889199</v>
      </c>
      <c r="M13" s="91">
        <f t="shared" si="11"/>
        <v>9.1511647993412719</v>
      </c>
      <c r="N13" s="70"/>
      <c r="O13" s="69">
        <v>6</v>
      </c>
      <c r="P13" s="204">
        <v>0</v>
      </c>
      <c r="Q13" s="204" t="s">
        <v>149</v>
      </c>
      <c r="R13" s="204">
        <v>0</v>
      </c>
      <c r="S13" s="204" t="s">
        <v>111</v>
      </c>
      <c r="T13" s="81">
        <v>134.64860439300537</v>
      </c>
      <c r="U13" s="81">
        <v>4.4961060954975256</v>
      </c>
      <c r="V13" s="82">
        <v>161.21431731139612</v>
      </c>
      <c r="W13" s="81">
        <v>1916.1986672798007</v>
      </c>
    </row>
    <row r="14" spans="1:25" x14ac:dyDescent="0.3">
      <c r="A14" s="100">
        <f t="shared" si="12"/>
        <v>0</v>
      </c>
      <c r="B14" s="96" t="s">
        <v>122</v>
      </c>
      <c r="C14" s="92">
        <f t="shared" si="1"/>
        <v>4.2433618120280494</v>
      </c>
      <c r="D14" s="92">
        <f t="shared" si="2"/>
        <v>4.4114640392272815</v>
      </c>
      <c r="E14" s="92">
        <f t="shared" si="3"/>
        <v>4.5828354418608246</v>
      </c>
      <c r="F14" s="92">
        <f t="shared" si="4"/>
        <v>4.757476311629488</v>
      </c>
      <c r="G14" s="92">
        <f t="shared" si="5"/>
        <v>4.9353869457989514</v>
      </c>
      <c r="H14" s="92">
        <f t="shared" si="6"/>
        <v>5.1165676472010482</v>
      </c>
      <c r="I14" s="92">
        <f t="shared" si="7"/>
        <v>5.3010187242324811</v>
      </c>
      <c r="J14" s="92">
        <f t="shared" si="8"/>
        <v>5.4887404908586603</v>
      </c>
      <c r="K14" s="92">
        <f t="shared" si="9"/>
        <v>5.6797332666102909</v>
      </c>
      <c r="L14" s="92">
        <f t="shared" si="10"/>
        <v>5.8739973765867832</v>
      </c>
      <c r="M14" s="92">
        <f t="shared" si="11"/>
        <v>6.0715331514558253</v>
      </c>
      <c r="N14" s="70"/>
      <c r="O14" s="69">
        <v>7</v>
      </c>
      <c r="P14" s="204">
        <v>0</v>
      </c>
      <c r="Q14" s="204">
        <v>0</v>
      </c>
      <c r="R14" s="204">
        <v>0</v>
      </c>
      <c r="S14" s="204" t="s">
        <v>111</v>
      </c>
      <c r="T14" s="81">
        <v>100.00006008148193</v>
      </c>
      <c r="U14" s="81">
        <v>6.0527574263300892</v>
      </c>
      <c r="V14" s="82">
        <v>217.03027811431349</v>
      </c>
      <c r="W14" s="81">
        <v>2304.8340985322975</v>
      </c>
    </row>
    <row r="15" spans="1:25" x14ac:dyDescent="0.3">
      <c r="A15" s="101">
        <f t="shared" si="12"/>
        <v>0</v>
      </c>
      <c r="B15" s="97" t="s">
        <v>122</v>
      </c>
      <c r="C15" s="91">
        <f t="shared" si="1"/>
        <v>3.5274547448120446</v>
      </c>
      <c r="D15" s="91">
        <f t="shared" si="2"/>
        <v>3.6671795260645736</v>
      </c>
      <c r="E15" s="91">
        <f t="shared" si="3"/>
        <v>3.8096203140255223</v>
      </c>
      <c r="F15" s="91">
        <f t="shared" si="4"/>
        <v>3.9547772762810518</v>
      </c>
      <c r="G15" s="91">
        <f t="shared" si="5"/>
        <v>4.1026505836113181</v>
      </c>
      <c r="H15" s="91">
        <f t="shared" si="6"/>
        <v>4.2532404099925181</v>
      </c>
      <c r="I15" s="91">
        <f t="shared" si="7"/>
        <v>4.4065469325973989</v>
      </c>
      <c r="J15" s="91">
        <f t="shared" si="8"/>
        <v>4.5625703317947517</v>
      </c>
      <c r="K15" s="91">
        <f t="shared" si="9"/>
        <v>4.7213107911494063</v>
      </c>
      <c r="L15" s="91">
        <f t="shared" si="10"/>
        <v>4.8827684974237719</v>
      </c>
      <c r="M15" s="91">
        <f t="shared" si="11"/>
        <v>5.0469436405768064</v>
      </c>
      <c r="N15" s="70"/>
      <c r="O15" s="69">
        <v>8</v>
      </c>
      <c r="P15" s="204">
        <v>0</v>
      </c>
      <c r="Q15" s="204">
        <v>0</v>
      </c>
      <c r="R15" s="204">
        <v>0</v>
      </c>
      <c r="S15" s="204" t="s">
        <v>147</v>
      </c>
      <c r="T15" s="81">
        <v>78.943028450012207</v>
      </c>
      <c r="U15" s="81">
        <v>7.6692803422813736</v>
      </c>
      <c r="V15" s="82">
        <v>274.99302026897249</v>
      </c>
      <c r="W15" s="81">
        <v>1819.5047449445194</v>
      </c>
    </row>
    <row r="16" spans="1:25" x14ac:dyDescent="0.3">
      <c r="A16" s="100">
        <f t="shared" si="12"/>
        <v>0</v>
      </c>
      <c r="B16" s="96" t="s">
        <v>122</v>
      </c>
      <c r="C16" s="92">
        <f t="shared" si="1"/>
        <v>4.4690466313328505</v>
      </c>
      <c r="D16" s="92">
        <f t="shared" si="2"/>
        <v>4.6460968449545383</v>
      </c>
      <c r="E16" s="92">
        <f t="shared" si="3"/>
        <v>4.826590831036083</v>
      </c>
      <c r="F16" s="92">
        <f t="shared" si="4"/>
        <v>5.010528930327812</v>
      </c>
      <c r="G16" s="92">
        <f t="shared" si="5"/>
        <v>5.197911490083019</v>
      </c>
      <c r="H16" s="92">
        <f t="shared" si="6"/>
        <v>5.3887388640563456</v>
      </c>
      <c r="I16" s="92">
        <f t="shared" si="7"/>
        <v>5.5830114125062051</v>
      </c>
      <c r="J16" s="92">
        <f t="shared" si="8"/>
        <v>5.7807295021959968</v>
      </c>
      <c r="K16" s="92">
        <f t="shared" si="9"/>
        <v>5.9818935063920833</v>
      </c>
      <c r="L16" s="92">
        <f t="shared" si="10"/>
        <v>6.1865038048690444</v>
      </c>
      <c r="M16" s="92">
        <f t="shared" si="11"/>
        <v>6.3945607839040202</v>
      </c>
      <c r="N16" s="70"/>
      <c r="O16" s="69">
        <v>9</v>
      </c>
      <c r="P16" s="204">
        <v>0</v>
      </c>
      <c r="Q16" s="204">
        <v>0</v>
      </c>
      <c r="R16" s="204" t="s">
        <v>110</v>
      </c>
      <c r="S16" s="204" t="s">
        <v>147</v>
      </c>
      <c r="T16" s="81">
        <v>250.84184551239014</v>
      </c>
      <c r="U16" s="81">
        <v>11.635271248381956</v>
      </c>
      <c r="V16" s="82">
        <v>417.19929894875958</v>
      </c>
      <c r="W16" s="81">
        <v>1200.402192499201</v>
      </c>
    </row>
    <row r="17" spans="1:23" x14ac:dyDescent="0.3">
      <c r="A17" s="101">
        <f t="shared" si="12"/>
        <v>0</v>
      </c>
      <c r="B17" s="97" t="s">
        <v>122</v>
      </c>
      <c r="C17" s="91">
        <f t="shared" si="1"/>
        <v>6.7775362106369927</v>
      </c>
      <c r="D17" s="91">
        <f t="shared" si="2"/>
        <v>7.0461899549571232</v>
      </c>
      <c r="E17" s="91">
        <f t="shared" si="3"/>
        <v>7.3200808513932216</v>
      </c>
      <c r="F17" s="91">
        <f t="shared" si="4"/>
        <v>7.5992100879117563</v>
      </c>
      <c r="G17" s="91">
        <f t="shared" si="5"/>
        <v>7.8835788752003753</v>
      </c>
      <c r="H17" s="91">
        <f t="shared" si="6"/>
        <v>8.1731884466710998</v>
      </c>
      <c r="I17" s="91">
        <f t="shared" si="7"/>
        <v>8.4680400584691231</v>
      </c>
      <c r="J17" s="91">
        <f t="shared" si="8"/>
        <v>8.7681349894752092</v>
      </c>
      <c r="K17" s="91">
        <f t="shared" si="9"/>
        <v>9.0734745413120894</v>
      </c>
      <c r="L17" s="91">
        <f t="shared" si="10"/>
        <v>9.3840600383513948</v>
      </c>
      <c r="M17" s="91">
        <f t="shared" si="11"/>
        <v>9.6998928277173793</v>
      </c>
      <c r="N17" s="70"/>
      <c r="O17" s="69">
        <v>10</v>
      </c>
      <c r="P17" s="204">
        <v>0</v>
      </c>
      <c r="Q17" s="204" t="s">
        <v>110</v>
      </c>
      <c r="R17" s="204" t="s">
        <v>110</v>
      </c>
      <c r="S17" s="204" t="s">
        <v>147</v>
      </c>
      <c r="T17" s="81">
        <v>250.84184551239014</v>
      </c>
      <c r="U17" s="81">
        <v>9.934503795521799</v>
      </c>
      <c r="V17" s="82">
        <v>356.21584838186374</v>
      </c>
      <c r="W17" s="81">
        <v>1200.402192499201</v>
      </c>
    </row>
    <row r="18" spans="1:23" x14ac:dyDescent="0.3">
      <c r="A18" s="100">
        <f t="shared" si="12"/>
        <v>0</v>
      </c>
      <c r="B18" s="96" t="s">
        <v>122</v>
      </c>
      <c r="C18" s="92">
        <f t="shared" si="1"/>
        <v>6.7775362106369927</v>
      </c>
      <c r="D18" s="92">
        <f t="shared" si="2"/>
        <v>7.0461899549571232</v>
      </c>
      <c r="E18" s="92">
        <f t="shared" si="3"/>
        <v>7.3200808513932216</v>
      </c>
      <c r="F18" s="92">
        <f t="shared" si="4"/>
        <v>7.5992100879117563</v>
      </c>
      <c r="G18" s="92">
        <f t="shared" si="5"/>
        <v>7.8835788752003753</v>
      </c>
      <c r="H18" s="92">
        <f t="shared" si="6"/>
        <v>8.1731884466710998</v>
      </c>
      <c r="I18" s="92">
        <f t="shared" si="7"/>
        <v>8.4680400584691231</v>
      </c>
      <c r="J18" s="92">
        <f t="shared" si="8"/>
        <v>8.7681349894752092</v>
      </c>
      <c r="K18" s="92">
        <f t="shared" si="9"/>
        <v>9.0734745413120894</v>
      </c>
      <c r="L18" s="92">
        <f t="shared" si="10"/>
        <v>9.3840600383513948</v>
      </c>
      <c r="M18" s="92">
        <f t="shared" si="11"/>
        <v>9.6998928277173793</v>
      </c>
      <c r="N18" s="70"/>
      <c r="O18" s="69">
        <v>11</v>
      </c>
      <c r="P18" s="204">
        <v>0</v>
      </c>
      <c r="Q18" s="204" t="s">
        <v>149</v>
      </c>
      <c r="R18" s="204">
        <v>0</v>
      </c>
      <c r="S18" s="204" t="s">
        <v>147</v>
      </c>
      <c r="T18" s="81">
        <v>113.79354953765869</v>
      </c>
      <c r="U18" s="81">
        <v>5.3214592006896329</v>
      </c>
      <c r="V18" s="82">
        <v>190.80853385527024</v>
      </c>
      <c r="W18" s="81">
        <v>1619.4081546709795</v>
      </c>
    </row>
    <row r="19" spans="1:23" x14ac:dyDescent="0.3">
      <c r="A19" s="101">
        <f t="shared" si="12"/>
        <v>0</v>
      </c>
      <c r="B19" s="97" t="s">
        <v>122</v>
      </c>
      <c r="C19" s="91">
        <f t="shared" si="1"/>
        <v>5.0217880919181965</v>
      </c>
      <c r="D19" s="91">
        <f t="shared" si="2"/>
        <v>5.2207584567850356</v>
      </c>
      <c r="E19" s="91">
        <f t="shared" si="3"/>
        <v>5.4236006994137584</v>
      </c>
      <c r="F19" s="91">
        <f t="shared" si="4"/>
        <v>5.6303153032259283</v>
      </c>
      <c r="G19" s="91">
        <f t="shared" si="5"/>
        <v>5.8409027608713942</v>
      </c>
      <c r="H19" s="91">
        <f t="shared" si="6"/>
        <v>6.0553635742304452</v>
      </c>
      <c r="I19" s="91">
        <f t="shared" si="7"/>
        <v>6.2736982544141684</v>
      </c>
      <c r="J19" s="91">
        <f t="shared" si="8"/>
        <v>6.49590732176625</v>
      </c>
      <c r="K19" s="91">
        <f t="shared" si="9"/>
        <v>6.7219913058640524</v>
      </c>
      <c r="L19" s="91">
        <f t="shared" si="10"/>
        <v>6.9519507455189746</v>
      </c>
      <c r="M19" s="91">
        <f t="shared" si="11"/>
        <v>7.1857861887796872</v>
      </c>
      <c r="N19" s="70"/>
      <c r="O19" s="69">
        <v>12</v>
      </c>
      <c r="P19" s="204">
        <v>15</v>
      </c>
      <c r="Q19" s="204">
        <v>0</v>
      </c>
      <c r="R19" s="204">
        <v>0</v>
      </c>
      <c r="S19" s="204" t="s">
        <v>147</v>
      </c>
      <c r="T19" s="81">
        <v>73.830729484558105</v>
      </c>
      <c r="U19" s="81">
        <v>8.20115299647372</v>
      </c>
      <c r="V19" s="82">
        <v>294.0640753154907</v>
      </c>
      <c r="W19" s="81">
        <v>1701.6748059637928</v>
      </c>
    </row>
    <row r="20" spans="1:23" x14ac:dyDescent="0.3">
      <c r="A20" s="100">
        <f t="shared" si="12"/>
        <v>15</v>
      </c>
      <c r="B20" s="96" t="s">
        <v>122</v>
      </c>
      <c r="C20" s="92">
        <f t="shared" si="1"/>
        <v>4.7787792624276255</v>
      </c>
      <c r="D20" s="92">
        <f t="shared" si="2"/>
        <v>4.9681116859914551</v>
      </c>
      <c r="E20" s="92">
        <f t="shared" si="3"/>
        <v>5.1611276854333576</v>
      </c>
      <c r="F20" s="92">
        <f t="shared" si="4"/>
        <v>5.3578276773538596</v>
      </c>
      <c r="G20" s="92">
        <f t="shared" si="5"/>
        <v>5.5582120863056703</v>
      </c>
      <c r="H20" s="92">
        <f t="shared" si="6"/>
        <v>5.7622813447933057</v>
      </c>
      <c r="I20" s="92">
        <f t="shared" si="7"/>
        <v>5.9700358932749733</v>
      </c>
      <c r="J20" s="92">
        <f t="shared" si="8"/>
        <v>6.181476180163334</v>
      </c>
      <c r="K20" s="92">
        <f t="shared" si="9"/>
        <v>6.3966026618251179</v>
      </c>
      <c r="L20" s="92">
        <f t="shared" si="10"/>
        <v>6.6154158025845291</v>
      </c>
      <c r="M20" s="92">
        <f t="shared" si="11"/>
        <v>6.8379160747221119</v>
      </c>
      <c r="N20" s="70"/>
      <c r="O20" s="69">
        <v>13</v>
      </c>
      <c r="P20" s="204">
        <v>15</v>
      </c>
      <c r="Q20" s="204" t="s">
        <v>148</v>
      </c>
      <c r="R20" s="204">
        <v>0</v>
      </c>
      <c r="S20" s="204" t="s">
        <v>147</v>
      </c>
      <c r="T20" s="81">
        <v>75.248377799987793</v>
      </c>
      <c r="U20" s="81">
        <v>8.0467070027431014</v>
      </c>
      <c r="V20" s="82">
        <v>288.52619322109433</v>
      </c>
      <c r="W20" s="81">
        <v>1693.7797913470424</v>
      </c>
    </row>
    <row r="21" spans="1:23" ht="15" thickBot="1" x14ac:dyDescent="0.35">
      <c r="A21" s="102">
        <f t="shared" si="12"/>
        <v>15</v>
      </c>
      <c r="B21" s="98" t="s">
        <v>122</v>
      </c>
      <c r="C21" s="91">
        <f t="shared" si="1"/>
        <v>4.8010750042736836</v>
      </c>
      <c r="D21" s="91">
        <f t="shared" si="2"/>
        <v>4.9912916358876034</v>
      </c>
      <c r="E21" s="91">
        <f t="shared" si="3"/>
        <v>5.1852091139139755</v>
      </c>
      <c r="F21" s="91">
        <f t="shared" si="4"/>
        <v>5.3828278608109112</v>
      </c>
      <c r="G21" s="91">
        <f t="shared" si="5"/>
        <v>5.5841483070984852</v>
      </c>
      <c r="H21" s="91">
        <f t="shared" si="6"/>
        <v>5.7891708913624997</v>
      </c>
      <c r="I21" s="91">
        <f t="shared" si="7"/>
        <v>5.9978960602537299</v>
      </c>
      <c r="J21" s="91">
        <f t="shared" si="8"/>
        <v>6.2103242684886801</v>
      </c>
      <c r="K21" s="91">
        <f t="shared" si="9"/>
        <v>6.4264559788518323</v>
      </c>
      <c r="L21" s="91">
        <f t="shared" si="10"/>
        <v>6.6462916621949031</v>
      </c>
      <c r="M21" s="91">
        <f t="shared" si="11"/>
        <v>6.869831797439848</v>
      </c>
      <c r="N21" s="70"/>
    </row>
    <row r="22" spans="1:23" ht="19.95" customHeight="1" thickBot="1" x14ac:dyDescent="0.35">
      <c r="A22" s="65"/>
      <c r="B22" s="17"/>
      <c r="C22" s="615" t="s">
        <v>117</v>
      </c>
      <c r="D22" s="615"/>
      <c r="E22" s="615"/>
      <c r="F22" s="615"/>
      <c r="G22" s="615"/>
      <c r="H22" s="615"/>
      <c r="I22" s="615"/>
      <c r="J22" s="615"/>
      <c r="K22" s="615"/>
      <c r="L22" s="615"/>
      <c r="M22" s="616"/>
      <c r="N22" s="71"/>
      <c r="P22" t="s">
        <v>123</v>
      </c>
    </row>
    <row r="23" spans="1:23" ht="15" thickBot="1" x14ac:dyDescent="0.35">
      <c r="A23" s="65"/>
      <c r="B23" s="17"/>
      <c r="C23" s="602" t="s">
        <v>119</v>
      </c>
      <c r="D23" s="603"/>
      <c r="E23" s="603"/>
      <c r="F23" s="603"/>
      <c r="G23" s="603"/>
      <c r="H23" s="603"/>
      <c r="I23" s="603"/>
      <c r="J23" s="603"/>
      <c r="K23" s="603"/>
      <c r="L23" s="603"/>
      <c r="M23" s="604"/>
      <c r="N23" s="67"/>
      <c r="P23" s="62" t="s">
        <v>124</v>
      </c>
      <c r="Q23" s="72">
        <v>5</v>
      </c>
    </row>
    <row r="24" spans="1:23" ht="15" thickBot="1" x14ac:dyDescent="0.35">
      <c r="A24" s="65"/>
      <c r="B24" s="17"/>
      <c r="C24" s="85">
        <f>D24-$Q$24</f>
        <v>310</v>
      </c>
      <c r="D24" s="86">
        <f>E24-$Q$24</f>
        <v>315</v>
      </c>
      <c r="E24" s="86">
        <f>F24-$Q$24</f>
        <v>320</v>
      </c>
      <c r="F24" s="86">
        <f>G24-$Q$24</f>
        <v>325</v>
      </c>
      <c r="G24" s="86">
        <f>IF(MOD($H$24,$Q$24)=0,$H$24-$Q$24,FLOOR($H$24,$Q$24))</f>
        <v>330</v>
      </c>
      <c r="H24" s="87">
        <f>P5</f>
        <v>334</v>
      </c>
      <c r="I24" s="86">
        <f>IF(MOD($H$24,$Q$24)=0,$H$24+$Q$24,CEILING($H$24,$Q$24))</f>
        <v>335</v>
      </c>
      <c r="J24" s="86">
        <f>I24+$Q$24</f>
        <v>340</v>
      </c>
      <c r="K24" s="86">
        <f>J24+$Q$24</f>
        <v>345</v>
      </c>
      <c r="L24" s="86">
        <f>K24+$Q$24</f>
        <v>350</v>
      </c>
      <c r="M24" s="332">
        <f>L24+$Q$24</f>
        <v>355</v>
      </c>
      <c r="N24" s="68"/>
      <c r="P24" s="62" t="s">
        <v>125</v>
      </c>
      <c r="Q24" s="72">
        <v>5</v>
      </c>
    </row>
    <row r="25" spans="1:23" ht="15" thickBot="1" x14ac:dyDescent="0.35">
      <c r="A25" s="99">
        <f>P8</f>
        <v>-40</v>
      </c>
      <c r="B25" s="95" t="s">
        <v>122</v>
      </c>
      <c r="C25" s="91">
        <f t="shared" ref="C25:G37" si="13">$W8*(COSH(C$24/(2*$W8))-1)</f>
        <v>4.0326387304406115</v>
      </c>
      <c r="D25" s="91">
        <f t="shared" si="13"/>
        <v>4.1638034590142645</v>
      </c>
      <c r="E25" s="91">
        <f t="shared" si="13"/>
        <v>4.2970687931640947</v>
      </c>
      <c r="F25" s="91">
        <f t="shared" si="13"/>
        <v>4.4324348267133677</v>
      </c>
      <c r="G25" s="91">
        <f t="shared" si="13"/>
        <v>4.569901654965304</v>
      </c>
      <c r="H25" s="93">
        <f t="shared" ref="H25:H37" si="14">U8</f>
        <v>4.6813877547411051</v>
      </c>
      <c r="I25" s="91">
        <f t="shared" ref="I25:M37" si="15">$W8*(COSH(I$24/(2*$W8))-1)</f>
        <v>4.7094693747024152</v>
      </c>
      <c r="J25" s="91">
        <f t="shared" si="15"/>
        <v>4.8511380841845213</v>
      </c>
      <c r="K25" s="91">
        <f t="shared" si="15"/>
        <v>4.9949078831527203</v>
      </c>
      <c r="L25" s="91">
        <f t="shared" si="15"/>
        <v>5.1407788728260799</v>
      </c>
      <c r="M25" s="331">
        <f t="shared" si="15"/>
        <v>5.2887511559022951</v>
      </c>
      <c r="N25" s="70"/>
      <c r="P25" s="62" t="s">
        <v>126</v>
      </c>
      <c r="Q25" s="72">
        <v>5</v>
      </c>
    </row>
    <row r="26" spans="1:23" x14ac:dyDescent="0.3">
      <c r="A26" s="100">
        <f t="shared" ref="A26:A37" si="16">P9</f>
        <v>-20</v>
      </c>
      <c r="B26" s="96" t="s">
        <v>122</v>
      </c>
      <c r="C26" s="92">
        <f t="shared" si="13"/>
        <v>5.0990438637688866</v>
      </c>
      <c r="D26" s="92">
        <f t="shared" si="13"/>
        <v>5.2649173550793478</v>
      </c>
      <c r="E26" s="92">
        <f t="shared" si="13"/>
        <v>5.4334488037208875</v>
      </c>
      <c r="F26" s="92">
        <f t="shared" si="13"/>
        <v>5.6046383993459186</v>
      </c>
      <c r="G26" s="92">
        <f t="shared" si="13"/>
        <v>5.7784863345979751</v>
      </c>
      <c r="H26" s="94">
        <f t="shared" si="14"/>
        <v>4.7721574428903732</v>
      </c>
      <c r="I26" s="92">
        <f t="shared" si="15"/>
        <v>5.954992805112755</v>
      </c>
      <c r="J26" s="92">
        <f t="shared" si="15"/>
        <v>6.1341580095170753</v>
      </c>
      <c r="K26" s="92">
        <f t="shared" si="15"/>
        <v>6.3159821494299173</v>
      </c>
      <c r="L26" s="92">
        <f t="shared" si="15"/>
        <v>6.5004654294624302</v>
      </c>
      <c r="M26" s="92">
        <f t="shared" si="15"/>
        <v>6.6876080572179264</v>
      </c>
      <c r="N26" s="70"/>
    </row>
    <row r="27" spans="1:23" x14ac:dyDescent="0.3">
      <c r="A27" s="101">
        <f t="shared" si="16"/>
        <v>15</v>
      </c>
      <c r="B27" s="97" t="s">
        <v>122</v>
      </c>
      <c r="C27" s="91">
        <f t="shared" si="13"/>
        <v>5.7242660058948305</v>
      </c>
      <c r="D27" s="91">
        <f t="shared" si="13"/>
        <v>5.910496181753687</v>
      </c>
      <c r="E27" s="91">
        <f t="shared" si="13"/>
        <v>6.0997116724557943</v>
      </c>
      <c r="F27" s="91">
        <f t="shared" si="13"/>
        <v>6.2919127462982791</v>
      </c>
      <c r="G27" s="91">
        <f t="shared" si="13"/>
        <v>6.4870996758102262</v>
      </c>
      <c r="H27" s="93">
        <f t="shared" si="14"/>
        <v>6.4899518067962916</v>
      </c>
      <c r="I27" s="91">
        <f t="shared" si="15"/>
        <v>6.6852727377559367</v>
      </c>
      <c r="J27" s="91">
        <f t="shared" si="15"/>
        <v>6.8864322131335376</v>
      </c>
      <c r="K27" s="91">
        <f t="shared" si="15"/>
        <v>7.0905783871754418</v>
      </c>
      <c r="L27" s="91">
        <f t="shared" si="15"/>
        <v>7.2977115493478832</v>
      </c>
      <c r="M27" s="91">
        <f t="shared" si="15"/>
        <v>7.5078319933546487</v>
      </c>
      <c r="N27" s="70"/>
    </row>
    <row r="28" spans="1:23" x14ac:dyDescent="0.3">
      <c r="A28" s="100">
        <f t="shared" si="16"/>
        <v>0</v>
      </c>
      <c r="B28" s="96" t="s">
        <v>122</v>
      </c>
      <c r="C28" s="92">
        <f t="shared" si="13"/>
        <v>9.4540364297348649</v>
      </c>
      <c r="D28" s="92">
        <f t="shared" si="13"/>
        <v>9.7618573432559383</v>
      </c>
      <c r="E28" s="92">
        <f t="shared" si="13"/>
        <v>10.074628728603026</v>
      </c>
      <c r="F28" s="92">
        <f t="shared" si="13"/>
        <v>10.39235179359118</v>
      </c>
      <c r="G28" s="92">
        <f t="shared" si="13"/>
        <v>10.715027765158199</v>
      </c>
      <c r="H28" s="94">
        <f t="shared" si="14"/>
        <v>10.976735471859906</v>
      </c>
      <c r="I28" s="92">
        <f t="shared" si="15"/>
        <v>11.042657889367158</v>
      </c>
      <c r="J28" s="92">
        <f t="shared" si="15"/>
        <v>11.375243431412629</v>
      </c>
      <c r="K28" s="92">
        <f t="shared" si="15"/>
        <v>11.712785675626337</v>
      </c>
      <c r="L28" s="92">
        <f t="shared" si="15"/>
        <v>12.055285925479403</v>
      </c>
      <c r="M28" s="92">
        <f t="shared" si="15"/>
        <v>12.402745503590836</v>
      </c>
      <c r="N28" s="70"/>
    </row>
    <row r="29" spans="1:23" x14ac:dyDescent="0.3">
      <c r="A29" s="101">
        <f t="shared" si="16"/>
        <v>0</v>
      </c>
      <c r="B29" s="97" t="s">
        <v>122</v>
      </c>
      <c r="C29" s="91">
        <f t="shared" si="13"/>
        <v>9.4540364297348649</v>
      </c>
      <c r="D29" s="91">
        <f t="shared" si="13"/>
        <v>9.7618573432559383</v>
      </c>
      <c r="E29" s="91">
        <f t="shared" si="13"/>
        <v>10.074628728603026</v>
      </c>
      <c r="F29" s="91">
        <f t="shared" si="13"/>
        <v>10.39235179359118</v>
      </c>
      <c r="G29" s="91">
        <f t="shared" si="13"/>
        <v>10.715027765158199</v>
      </c>
      <c r="H29" s="93">
        <f t="shared" si="14"/>
        <v>9.3722284491473005</v>
      </c>
      <c r="I29" s="91">
        <f t="shared" si="15"/>
        <v>11.042657889367158</v>
      </c>
      <c r="J29" s="91">
        <f t="shared" si="15"/>
        <v>11.375243431412629</v>
      </c>
      <c r="K29" s="91">
        <f t="shared" si="15"/>
        <v>11.712785675626337</v>
      </c>
      <c r="L29" s="91">
        <f t="shared" si="15"/>
        <v>12.055285925479403</v>
      </c>
      <c r="M29" s="91">
        <f t="shared" si="15"/>
        <v>12.402745503590836</v>
      </c>
      <c r="N29" s="70"/>
    </row>
    <row r="30" spans="1:23" x14ac:dyDescent="0.3">
      <c r="A30" s="100">
        <f t="shared" si="16"/>
        <v>0</v>
      </c>
      <c r="B30" s="96" t="s">
        <v>122</v>
      </c>
      <c r="C30" s="92">
        <f t="shared" si="13"/>
        <v>6.2723409274533797</v>
      </c>
      <c r="D30" s="92">
        <f t="shared" si="13"/>
        <v>6.4764210463862426</v>
      </c>
      <c r="E30" s="92">
        <f t="shared" si="13"/>
        <v>6.6837738556290605</v>
      </c>
      <c r="F30" s="92">
        <f t="shared" si="13"/>
        <v>6.8943997081298631</v>
      </c>
      <c r="G30" s="92">
        <f t="shared" si="13"/>
        <v>7.108298962404958</v>
      </c>
      <c r="H30" s="94">
        <f t="shared" si="14"/>
        <v>4.4961060954975256</v>
      </c>
      <c r="I30" s="92">
        <f t="shared" si="15"/>
        <v>7.3254719825448857</v>
      </c>
      <c r="J30" s="92">
        <f t="shared" si="15"/>
        <v>7.5459191382118691</v>
      </c>
      <c r="K30" s="92">
        <f t="shared" si="15"/>
        <v>7.7696408046398124</v>
      </c>
      <c r="L30" s="92">
        <f t="shared" si="15"/>
        <v>7.99663736263898</v>
      </c>
      <c r="M30" s="92">
        <f t="shared" si="15"/>
        <v>8.2269091985921712</v>
      </c>
      <c r="N30" s="70"/>
    </row>
    <row r="31" spans="1:23" x14ac:dyDescent="0.3">
      <c r="A31" s="101">
        <f t="shared" si="16"/>
        <v>0</v>
      </c>
      <c r="B31" s="97" t="s">
        <v>122</v>
      </c>
      <c r="C31" s="91">
        <f t="shared" si="13"/>
        <v>5.2138364137640236</v>
      </c>
      <c r="D31" s="91">
        <f t="shared" si="13"/>
        <v>5.3834470133385128</v>
      </c>
      <c r="E31" s="91">
        <f t="shared" si="13"/>
        <v>5.5557756388519621</v>
      </c>
      <c r="F31" s="91">
        <f t="shared" si="13"/>
        <v>5.7308224930531253</v>
      </c>
      <c r="G31" s="91">
        <f t="shared" si="13"/>
        <v>5.9085877818873085</v>
      </c>
      <c r="H31" s="93">
        <f t="shared" si="14"/>
        <v>6.0527574263300892</v>
      </c>
      <c r="I31" s="91">
        <f t="shared" si="15"/>
        <v>6.0890717145014879</v>
      </c>
      <c r="J31" s="91">
        <f t="shared" si="15"/>
        <v>6.2722745032386822</v>
      </c>
      <c r="K31" s="91">
        <f t="shared" si="15"/>
        <v>6.4581963636410205</v>
      </c>
      <c r="L31" s="91">
        <f t="shared" si="15"/>
        <v>6.6468375144502545</v>
      </c>
      <c r="M31" s="91">
        <f t="shared" si="15"/>
        <v>6.8381981776067375</v>
      </c>
      <c r="N31" s="70"/>
    </row>
    <row r="32" spans="1:23" x14ac:dyDescent="0.3">
      <c r="A32" s="100">
        <f t="shared" si="16"/>
        <v>0</v>
      </c>
      <c r="B32" s="96" t="s">
        <v>122</v>
      </c>
      <c r="C32" s="92">
        <f t="shared" si="13"/>
        <v>6.6060648362839842</v>
      </c>
      <c r="D32" s="92">
        <f t="shared" si="13"/>
        <v>6.8210163613029122</v>
      </c>
      <c r="E32" s="92">
        <f t="shared" si="13"/>
        <v>7.0394157647621904</v>
      </c>
      <c r="F32" s="92">
        <f t="shared" si="13"/>
        <v>7.2612634589734428</v>
      </c>
      <c r="G32" s="92">
        <f t="shared" si="13"/>
        <v>7.4865598627573151</v>
      </c>
      <c r="H32" s="94">
        <f t="shared" si="14"/>
        <v>7.6692803422813736</v>
      </c>
      <c r="I32" s="92">
        <f t="shared" si="15"/>
        <v>7.7153054014463089</v>
      </c>
      <c r="J32" s="92">
        <f t="shared" si="15"/>
        <v>7.9475005068835634</v>
      </c>
      <c r="K32" s="92">
        <f t="shared" si="15"/>
        <v>8.1831456174248807</v>
      </c>
      <c r="L32" s="92">
        <f t="shared" si="15"/>
        <v>8.4222411779399327</v>
      </c>
      <c r="M32" s="92">
        <f t="shared" si="15"/>
        <v>8.6647876398102515</v>
      </c>
      <c r="N32" s="70"/>
    </row>
    <row r="33" spans="1:14" x14ac:dyDescent="0.3">
      <c r="A33" s="101">
        <f t="shared" si="16"/>
        <v>0</v>
      </c>
      <c r="B33" s="97" t="s">
        <v>122</v>
      </c>
      <c r="C33" s="91">
        <f t="shared" si="13"/>
        <v>10.020974279294398</v>
      </c>
      <c r="D33" s="91">
        <f t="shared" si="13"/>
        <v>10.347305785731953</v>
      </c>
      <c r="E33" s="91">
        <f t="shared" si="13"/>
        <v>10.678888762450843</v>
      </c>
      <c r="F33" s="91">
        <f t="shared" si="13"/>
        <v>11.015724647649808</v>
      </c>
      <c r="G33" s="91">
        <f t="shared" si="13"/>
        <v>11.357814902311144</v>
      </c>
      <c r="H33" s="93">
        <f t="shared" si="14"/>
        <v>11.635271248381956</v>
      </c>
      <c r="I33" s="91">
        <f t="shared" si="15"/>
        <v>11.705161010207087</v>
      </c>
      <c r="J33" s="91">
        <f t="shared" si="15"/>
        <v>12.057764477907018</v>
      </c>
      <c r="K33" s="91">
        <f t="shared" si="15"/>
        <v>12.415626834782788</v>
      </c>
      <c r="L33" s="91">
        <f t="shared" si="15"/>
        <v>12.778749633016988</v>
      </c>
      <c r="M33" s="91">
        <f t="shared" si="15"/>
        <v>13.147134447607467</v>
      </c>
      <c r="N33" s="70"/>
    </row>
    <row r="34" spans="1:14" x14ac:dyDescent="0.3">
      <c r="A34" s="100">
        <f t="shared" si="16"/>
        <v>0</v>
      </c>
      <c r="B34" s="96" t="s">
        <v>122</v>
      </c>
      <c r="C34" s="92">
        <f t="shared" si="13"/>
        <v>10.020974279294398</v>
      </c>
      <c r="D34" s="92">
        <f t="shared" si="13"/>
        <v>10.347305785731953</v>
      </c>
      <c r="E34" s="92">
        <f t="shared" si="13"/>
        <v>10.678888762450843</v>
      </c>
      <c r="F34" s="92">
        <f t="shared" si="13"/>
        <v>11.015724647649808</v>
      </c>
      <c r="G34" s="92">
        <f t="shared" si="13"/>
        <v>11.357814902311144</v>
      </c>
      <c r="H34" s="94">
        <f t="shared" si="14"/>
        <v>9.934503795521799</v>
      </c>
      <c r="I34" s="92">
        <f t="shared" si="15"/>
        <v>11.705161010207087</v>
      </c>
      <c r="J34" s="92">
        <f t="shared" si="15"/>
        <v>12.057764477907018</v>
      </c>
      <c r="K34" s="92">
        <f t="shared" si="15"/>
        <v>12.415626834782788</v>
      </c>
      <c r="L34" s="92">
        <f t="shared" si="15"/>
        <v>12.778749633016988</v>
      </c>
      <c r="M34" s="92">
        <f t="shared" si="15"/>
        <v>13.147134447607467</v>
      </c>
      <c r="N34" s="70"/>
    </row>
    <row r="35" spans="1:14" x14ac:dyDescent="0.3">
      <c r="A35" s="101">
        <f t="shared" si="16"/>
        <v>0</v>
      </c>
      <c r="B35" s="97" t="s">
        <v>122</v>
      </c>
      <c r="C35" s="91">
        <f t="shared" si="13"/>
        <v>7.4234981929317732</v>
      </c>
      <c r="D35" s="91">
        <f t="shared" si="13"/>
        <v>7.665087324498808</v>
      </c>
      <c r="E35" s="91">
        <f t="shared" si="13"/>
        <v>7.9105541592459545</v>
      </c>
      <c r="F35" s="91">
        <f t="shared" si="13"/>
        <v>8.1598992821796017</v>
      </c>
      <c r="G35" s="91">
        <f t="shared" si="13"/>
        <v>8.413123287547366</v>
      </c>
      <c r="H35" s="93">
        <f t="shared" si="14"/>
        <v>5.3214592006896329</v>
      </c>
      <c r="I35" s="91">
        <f t="shared" si="15"/>
        <v>8.67022677884313</v>
      </c>
      <c r="J35" s="91">
        <f t="shared" si="15"/>
        <v>8.9312103688055942</v>
      </c>
      <c r="K35" s="91">
        <f t="shared" si="15"/>
        <v>9.1960746794211623</v>
      </c>
      <c r="L35" s="91">
        <f t="shared" si="15"/>
        <v>9.4648203419239376</v>
      </c>
      <c r="M35" s="91">
        <f t="shared" si="15"/>
        <v>9.7374479967993199</v>
      </c>
      <c r="N35" s="70"/>
    </row>
    <row r="36" spans="1:14" x14ac:dyDescent="0.3">
      <c r="A36" s="100">
        <f t="shared" si="16"/>
        <v>15</v>
      </c>
      <c r="B36" s="96" t="s">
        <v>122</v>
      </c>
      <c r="C36" s="92">
        <f t="shared" si="13"/>
        <v>7.0641039584773919</v>
      </c>
      <c r="D36" s="92">
        <f t="shared" si="13"/>
        <v>7.2939799420481259</v>
      </c>
      <c r="E36" s="92">
        <f t="shared" si="13"/>
        <v>7.5275445215933212</v>
      </c>
      <c r="F36" s="92">
        <f t="shared" si="13"/>
        <v>7.7647982012332353</v>
      </c>
      <c r="G36" s="92">
        <f t="shared" si="13"/>
        <v>8.0057414930497561</v>
      </c>
      <c r="H36" s="94">
        <f t="shared" si="14"/>
        <v>8.20115299647372</v>
      </c>
      <c r="I36" s="92">
        <f t="shared" si="15"/>
        <v>8.2503749170890455</v>
      </c>
      <c r="J36" s="92">
        <f t="shared" si="15"/>
        <v>8.4986990013622954</v>
      </c>
      <c r="K36" s="92">
        <f t="shared" si="15"/>
        <v>8.7507142818457258</v>
      </c>
      <c r="L36" s="92">
        <f t="shared" si="15"/>
        <v>9.0064213024828526</v>
      </c>
      <c r="M36" s="92">
        <f t="shared" si="15"/>
        <v>9.2658206151856266</v>
      </c>
      <c r="N36" s="70"/>
    </row>
    <row r="37" spans="1:14" ht="15" thickBot="1" x14ac:dyDescent="0.35">
      <c r="A37" s="102">
        <f t="shared" si="16"/>
        <v>15</v>
      </c>
      <c r="B37" s="98" t="s">
        <v>122</v>
      </c>
      <c r="C37" s="91">
        <f t="shared" si="13"/>
        <v>7.0970768715781078</v>
      </c>
      <c r="D37" s="91">
        <f t="shared" si="13"/>
        <v>7.3280273796736193</v>
      </c>
      <c r="E37" s="91">
        <f t="shared" si="13"/>
        <v>7.5626838248620656</v>
      </c>
      <c r="F37" s="91">
        <f t="shared" si="13"/>
        <v>7.801046718351623</v>
      </c>
      <c r="G37" s="91">
        <f t="shared" si="13"/>
        <v>8.0431165794271013</v>
      </c>
      <c r="H37" s="93">
        <f t="shared" si="14"/>
        <v>8.0467070027431014</v>
      </c>
      <c r="I37" s="91">
        <f t="shared" si="15"/>
        <v>8.2888939354480655</v>
      </c>
      <c r="J37" s="91">
        <f t="shared" si="15"/>
        <v>8.5383793218510835</v>
      </c>
      <c r="K37" s="91">
        <f t="shared" si="15"/>
        <v>8.7915732821504911</v>
      </c>
      <c r="L37" s="91">
        <f t="shared" si="15"/>
        <v>9.048476367940637</v>
      </c>
      <c r="M37" s="91">
        <f t="shared" si="15"/>
        <v>9.3090891388962671</v>
      </c>
      <c r="N37" s="70"/>
    </row>
    <row r="38" spans="1:14" ht="19.95" customHeight="1" thickBot="1" x14ac:dyDescent="0.35">
      <c r="A38" s="65"/>
      <c r="B38" s="17"/>
      <c r="C38" s="617" t="s">
        <v>117</v>
      </c>
      <c r="D38" s="617"/>
      <c r="E38" s="617"/>
      <c r="F38" s="617"/>
      <c r="G38" s="617"/>
      <c r="H38" s="617"/>
      <c r="I38" s="617"/>
      <c r="J38" s="617"/>
      <c r="K38" s="617"/>
      <c r="L38" s="617"/>
      <c r="M38" s="618"/>
      <c r="N38" s="71"/>
    </row>
    <row r="39" spans="1:14" x14ac:dyDescent="0.3">
      <c r="A39" s="65"/>
      <c r="B39" s="17"/>
      <c r="C39" s="602" t="s">
        <v>119</v>
      </c>
      <c r="D39" s="603"/>
      <c r="E39" s="603"/>
      <c r="F39" s="603"/>
      <c r="G39" s="603"/>
      <c r="H39" s="603"/>
      <c r="I39" s="603"/>
      <c r="J39" s="603"/>
      <c r="K39" s="603"/>
      <c r="L39" s="603"/>
      <c r="M39" s="604"/>
      <c r="N39" s="67"/>
    </row>
    <row r="40" spans="1:14" ht="15" thickBot="1" x14ac:dyDescent="0.35">
      <c r="A40" s="65"/>
      <c r="B40" s="17"/>
      <c r="C40" s="85">
        <f>IF(MOD($M$24,$Q$25)=0,$M$24+$Q$25,$M$24+$Q$24)</f>
        <v>360</v>
      </c>
      <c r="D40" s="86">
        <f t="shared" ref="D40:M40" si="17">C40+$Q$25</f>
        <v>365</v>
      </c>
      <c r="E40" s="86">
        <f t="shared" si="17"/>
        <v>370</v>
      </c>
      <c r="F40" s="86">
        <f t="shared" si="17"/>
        <v>375</v>
      </c>
      <c r="G40" s="86">
        <f t="shared" si="17"/>
        <v>380</v>
      </c>
      <c r="H40" s="86">
        <f t="shared" si="17"/>
        <v>385</v>
      </c>
      <c r="I40" s="86">
        <f t="shared" si="17"/>
        <v>390</v>
      </c>
      <c r="J40" s="86">
        <f t="shared" si="17"/>
        <v>395</v>
      </c>
      <c r="K40" s="86">
        <f t="shared" si="17"/>
        <v>400</v>
      </c>
      <c r="L40" s="86">
        <f t="shared" si="17"/>
        <v>405</v>
      </c>
      <c r="M40" s="332">
        <f t="shared" si="17"/>
        <v>410</v>
      </c>
      <c r="N40" s="73"/>
    </row>
    <row r="41" spans="1:14" x14ac:dyDescent="0.3">
      <c r="A41" s="99">
        <f>P8</f>
        <v>-40</v>
      </c>
      <c r="B41" s="95" t="s">
        <v>122</v>
      </c>
      <c r="C41" s="91">
        <f t="shared" ref="C41:M41" si="18">$W8*(COSH(C$40/(2*$W8))-1)</f>
        <v>5.4388248365610048</v>
      </c>
      <c r="D41" s="91">
        <f t="shared" si="18"/>
        <v>5.5910000204584902</v>
      </c>
      <c r="E41" s="91">
        <f t="shared" si="18"/>
        <v>5.745276814732974</v>
      </c>
      <c r="F41" s="91">
        <f t="shared" si="18"/>
        <v>5.9016553280006452</v>
      </c>
      <c r="G41" s="91">
        <f t="shared" si="18"/>
        <v>6.0601356703576501</v>
      </c>
      <c r="H41" s="91">
        <f t="shared" si="18"/>
        <v>6.2207179533800874</v>
      </c>
      <c r="I41" s="91">
        <f t="shared" si="18"/>
        <v>6.3834022901246703</v>
      </c>
      <c r="J41" s="91">
        <f t="shared" si="18"/>
        <v>6.5481887951260846</v>
      </c>
      <c r="K41" s="91">
        <f t="shared" si="18"/>
        <v>6.7150775844016124</v>
      </c>
      <c r="L41" s="91">
        <f t="shared" si="18"/>
        <v>6.8840687754465089</v>
      </c>
      <c r="M41" s="331">
        <f t="shared" si="18"/>
        <v>7.0551624872373049</v>
      </c>
      <c r="N41" s="70"/>
    </row>
    <row r="42" spans="1:14" x14ac:dyDescent="0.3">
      <c r="A42" s="100">
        <f t="shared" ref="A42:A53" si="19">P9</f>
        <v>-20</v>
      </c>
      <c r="B42" s="96" t="s">
        <v>122</v>
      </c>
      <c r="C42" s="92">
        <f t="shared" ref="C42:M42" si="20">$W9*(COSH(C$40/(2*$W9))-1)</f>
        <v>6.877410243292406</v>
      </c>
      <c r="D42" s="92">
        <f t="shared" si="20"/>
        <v>7.0698722012750839</v>
      </c>
      <c r="E42" s="92">
        <f t="shared" si="20"/>
        <v>7.2649941477483839</v>
      </c>
      <c r="F42" s="92">
        <f t="shared" si="20"/>
        <v>7.462776302287943</v>
      </c>
      <c r="G42" s="92">
        <f t="shared" si="20"/>
        <v>7.6632188874610412</v>
      </c>
      <c r="H42" s="92">
        <f t="shared" si="20"/>
        <v>7.8663221288328771</v>
      </c>
      <c r="I42" s="92">
        <f t="shared" si="20"/>
        <v>8.0720862549587249</v>
      </c>
      <c r="J42" s="92">
        <f t="shared" si="20"/>
        <v>8.2805114973912541</v>
      </c>
      <c r="K42" s="92">
        <f t="shared" si="20"/>
        <v>8.4915980906753017</v>
      </c>
      <c r="L42" s="92">
        <f t="shared" si="20"/>
        <v>8.7053462723520525</v>
      </c>
      <c r="M42" s="92">
        <f t="shared" si="20"/>
        <v>8.9217562829580022</v>
      </c>
      <c r="N42" s="70"/>
    </row>
    <row r="43" spans="1:14" x14ac:dyDescent="0.3">
      <c r="A43" s="101">
        <f t="shared" si="19"/>
        <v>15</v>
      </c>
      <c r="B43" s="97" t="s">
        <v>122</v>
      </c>
      <c r="C43" s="91">
        <f t="shared" ref="C43:M43" si="21">$W10*(COSH(C$40/(2*$W10))-1)</f>
        <v>7.720940017134744</v>
      </c>
      <c r="D43" s="91">
        <f t="shared" si="21"/>
        <v>7.9370359228614644</v>
      </c>
      <c r="E43" s="91">
        <f t="shared" si="21"/>
        <v>8.1561200169475203</v>
      </c>
      <c r="F43" s="91">
        <f t="shared" si="21"/>
        <v>8.3781926100403741</v>
      </c>
      <c r="G43" s="91">
        <f t="shared" si="21"/>
        <v>8.6032540170264404</v>
      </c>
      <c r="H43" s="91">
        <f t="shared" si="21"/>
        <v>8.8313045570301529</v>
      </c>
      <c r="I43" s="91">
        <f t="shared" si="21"/>
        <v>9.0623445534130251</v>
      </c>
      <c r="J43" s="91">
        <f t="shared" si="21"/>
        <v>9.2963743337769245</v>
      </c>
      <c r="K43" s="91">
        <f t="shared" si="21"/>
        <v>9.5333942299621963</v>
      </c>
      <c r="L43" s="91">
        <f t="shared" si="21"/>
        <v>9.773404578049071</v>
      </c>
      <c r="M43" s="91">
        <f t="shared" si="21"/>
        <v>10.016405718358595</v>
      </c>
      <c r="N43" s="70"/>
    </row>
    <row r="44" spans="1:14" x14ac:dyDescent="0.3">
      <c r="A44" s="100">
        <f t="shared" si="19"/>
        <v>0</v>
      </c>
      <c r="B44" s="96" t="s">
        <v>122</v>
      </c>
      <c r="C44" s="92">
        <f t="shared" ref="C44:M44" si="22">$W11*(COSH(C$40/(2*$W11))-1)</f>
        <v>12.755165751729219</v>
      </c>
      <c r="D44" s="92">
        <f t="shared" si="22"/>
        <v>13.112548030820616</v>
      </c>
      <c r="E44" s="92">
        <f t="shared" si="22"/>
        <v>13.474893720952254</v>
      </c>
      <c r="F44" s="92">
        <f t="shared" si="22"/>
        <v>13.842204221378729</v>
      </c>
      <c r="G44" s="92">
        <f t="shared" si="22"/>
        <v>14.21448095052653</v>
      </c>
      <c r="H44" s="92">
        <f t="shared" si="22"/>
        <v>14.591725346000533</v>
      </c>
      <c r="I44" s="92">
        <f t="shared" si="22"/>
        <v>14.973938864588806</v>
      </c>
      <c r="J44" s="92">
        <f t="shared" si="22"/>
        <v>15.361122982267977</v>
      </c>
      <c r="K44" s="92">
        <f t="shared" si="22"/>
        <v>15.753279194210576</v>
      </c>
      <c r="L44" s="92">
        <f t="shared" si="22"/>
        <v>16.150409014788423</v>
      </c>
      <c r="M44" s="92">
        <f t="shared" si="22"/>
        <v>16.552513977580542</v>
      </c>
      <c r="N44" s="70"/>
    </row>
    <row r="45" spans="1:14" x14ac:dyDescent="0.3">
      <c r="A45" s="101">
        <f t="shared" si="19"/>
        <v>0</v>
      </c>
      <c r="B45" s="97" t="s">
        <v>122</v>
      </c>
      <c r="C45" s="91">
        <f t="shared" ref="C45:M45" si="23">$W12*(COSH(C$40/(2*$W12))-1)</f>
        <v>12.755165751729219</v>
      </c>
      <c r="D45" s="91">
        <f t="shared" si="23"/>
        <v>13.112548030820616</v>
      </c>
      <c r="E45" s="91">
        <f t="shared" si="23"/>
        <v>13.474893720952254</v>
      </c>
      <c r="F45" s="91">
        <f t="shared" si="23"/>
        <v>13.842204221378729</v>
      </c>
      <c r="G45" s="91">
        <f t="shared" si="23"/>
        <v>14.21448095052653</v>
      </c>
      <c r="H45" s="91">
        <f t="shared" si="23"/>
        <v>14.591725346000533</v>
      </c>
      <c r="I45" s="91">
        <f t="shared" si="23"/>
        <v>14.973938864588806</v>
      </c>
      <c r="J45" s="91">
        <f t="shared" si="23"/>
        <v>15.361122982267977</v>
      </c>
      <c r="K45" s="91">
        <f t="shared" si="23"/>
        <v>15.753279194210576</v>
      </c>
      <c r="L45" s="91">
        <f t="shared" si="23"/>
        <v>16.150409014788423</v>
      </c>
      <c r="M45" s="91">
        <f t="shared" si="23"/>
        <v>16.552513977580542</v>
      </c>
      <c r="N45" s="70"/>
    </row>
    <row r="46" spans="1:14" x14ac:dyDescent="0.3">
      <c r="A46" s="100">
        <f t="shared" si="19"/>
        <v>0</v>
      </c>
      <c r="B46" s="96" t="s">
        <v>122</v>
      </c>
      <c r="C46" s="92">
        <f t="shared" ref="C46:M46" si="24">$W13*(COSH(C$40/(2*$W13))-1)</f>
        <v>8.4604567044572665</v>
      </c>
      <c r="D46" s="92">
        <f t="shared" si="24"/>
        <v>8.6972802777689378</v>
      </c>
      <c r="E46" s="92">
        <f t="shared" si="24"/>
        <v>8.937380321636514</v>
      </c>
      <c r="F46" s="92">
        <f t="shared" si="24"/>
        <v>9.1807572447482375</v>
      </c>
      <c r="G46" s="92">
        <f t="shared" si="24"/>
        <v>9.4274114613691395</v>
      </c>
      <c r="H46" s="92">
        <f t="shared" si="24"/>
        <v>9.6773433913423137</v>
      </c>
      <c r="I46" s="92">
        <f t="shared" si="24"/>
        <v>9.9305534600914722</v>
      </c>
      <c r="J46" s="92">
        <f t="shared" si="24"/>
        <v>10.187042098618813</v>
      </c>
      <c r="K46" s="92">
        <f t="shared" si="24"/>
        <v>10.446809743507153</v>
      </c>
      <c r="L46" s="92">
        <f t="shared" si="24"/>
        <v>10.70985683692205</v>
      </c>
      <c r="M46" s="92">
        <f t="shared" si="24"/>
        <v>10.976183826610109</v>
      </c>
      <c r="N46" s="70"/>
    </row>
    <row r="47" spans="1:14" x14ac:dyDescent="0.3">
      <c r="A47" s="101">
        <f t="shared" si="19"/>
        <v>0</v>
      </c>
      <c r="B47" s="97" t="s">
        <v>122</v>
      </c>
      <c r="C47" s="91">
        <f t="shared" ref="C47:M47" si="25">$W14*(COSH(C$40/(2*$W14))-1)</f>
        <v>7.0322785782514687</v>
      </c>
      <c r="D47" s="91">
        <f t="shared" si="25"/>
        <v>7.2290789447240478</v>
      </c>
      <c r="E47" s="91">
        <f t="shared" si="25"/>
        <v>7.4285995085652319</v>
      </c>
      <c r="F47" s="91">
        <f t="shared" si="25"/>
        <v>7.6308405045159162</v>
      </c>
      <c r="G47" s="91">
        <f t="shared" si="25"/>
        <v>7.8358021705166152</v>
      </c>
      <c r="H47" s="91">
        <f t="shared" si="25"/>
        <v>8.0434847477105418</v>
      </c>
      <c r="I47" s="91">
        <f t="shared" si="25"/>
        <v>8.2538884804410397</v>
      </c>
      <c r="J47" s="91">
        <f t="shared" si="25"/>
        <v>8.4670136162521032</v>
      </c>
      <c r="K47" s="91">
        <f t="shared" si="25"/>
        <v>8.6828604058919545</v>
      </c>
      <c r="L47" s="91">
        <f t="shared" si="25"/>
        <v>8.9014291033084394</v>
      </c>
      <c r="M47" s="91">
        <f t="shared" si="25"/>
        <v>9.1227199656531202</v>
      </c>
      <c r="N47" s="70"/>
    </row>
    <row r="48" spans="1:14" x14ac:dyDescent="0.3">
      <c r="A48" s="100">
        <f t="shared" si="19"/>
        <v>0</v>
      </c>
      <c r="B48" s="96" t="s">
        <v>122</v>
      </c>
      <c r="C48" s="92">
        <f t="shared" ref="C48:M48" si="26">$W15*(COSH(C$40/(2*$W15))-1)</f>
        <v>8.9107854609348678</v>
      </c>
      <c r="D48" s="92">
        <f t="shared" si="26"/>
        <v>9.1602351057274998</v>
      </c>
      <c r="E48" s="92">
        <f t="shared" si="26"/>
        <v>9.4131370451177574</v>
      </c>
      <c r="F48" s="92">
        <f t="shared" si="26"/>
        <v>9.6694917565535672</v>
      </c>
      <c r="G48" s="92">
        <f t="shared" si="26"/>
        <v>9.9292997240015755</v>
      </c>
      <c r="H48" s="92">
        <f t="shared" si="26"/>
        <v>10.192561437946747</v>
      </c>
      <c r="I48" s="92">
        <f t="shared" si="26"/>
        <v>10.459277395394786</v>
      </c>
      <c r="J48" s="92">
        <f t="shared" si="26"/>
        <v>10.729448099872947</v>
      </c>
      <c r="K48" s="92">
        <f t="shared" si="26"/>
        <v>11.003074061430437</v>
      </c>
      <c r="L48" s="92">
        <f t="shared" si="26"/>
        <v>11.280155796639225</v>
      </c>
      <c r="M48" s="92">
        <f t="shared" si="26"/>
        <v>11.56069382859525</v>
      </c>
      <c r="N48" s="70"/>
    </row>
    <row r="49" spans="1:14" x14ac:dyDescent="0.3">
      <c r="A49" s="101">
        <f t="shared" si="19"/>
        <v>0</v>
      </c>
      <c r="B49" s="97" t="s">
        <v>122</v>
      </c>
      <c r="C49" s="91">
        <f t="shared" ref="C49:M49" si="27">$W16*(COSH(C$40/(2*$W16))-1)</f>
        <v>13.520782876376146</v>
      </c>
      <c r="D49" s="91">
        <f t="shared" si="27"/>
        <v>13.899696539975132</v>
      </c>
      <c r="E49" s="91">
        <f t="shared" si="27"/>
        <v>14.283877081893927</v>
      </c>
      <c r="F49" s="91">
        <f t="shared" si="27"/>
        <v>14.673326168465815</v>
      </c>
      <c r="G49" s="91">
        <f t="shared" si="27"/>
        <v>15.068045488876402</v>
      </c>
      <c r="H49" s="91">
        <f t="shared" si="27"/>
        <v>15.468036755170001</v>
      </c>
      <c r="I49" s="91">
        <f t="shared" si="27"/>
        <v>15.873301702257105</v>
      </c>
      <c r="J49" s="91">
        <f t="shared" si="27"/>
        <v>16.28384208792238</v>
      </c>
      <c r="K49" s="91">
        <f t="shared" si="27"/>
        <v>16.699659692832391</v>
      </c>
      <c r="L49" s="91">
        <f t="shared" si="27"/>
        <v>17.120756320541741</v>
      </c>
      <c r="M49" s="91">
        <f t="shared" si="27"/>
        <v>17.547133797503452</v>
      </c>
      <c r="N49" s="70"/>
    </row>
    <row r="50" spans="1:14" x14ac:dyDescent="0.3">
      <c r="A50" s="100">
        <f t="shared" si="19"/>
        <v>0</v>
      </c>
      <c r="B50" s="96" t="s">
        <v>122</v>
      </c>
      <c r="C50" s="92">
        <f t="shared" ref="C50:M50" si="28">$W17*(COSH(C$40/(2*$W17))-1)</f>
        <v>13.520782876376146</v>
      </c>
      <c r="D50" s="92">
        <f t="shared" si="28"/>
        <v>13.899696539975132</v>
      </c>
      <c r="E50" s="92">
        <f t="shared" si="28"/>
        <v>14.283877081893927</v>
      </c>
      <c r="F50" s="92">
        <f t="shared" si="28"/>
        <v>14.673326168465815</v>
      </c>
      <c r="G50" s="92">
        <f t="shared" si="28"/>
        <v>15.068045488876402</v>
      </c>
      <c r="H50" s="92">
        <f t="shared" si="28"/>
        <v>15.468036755170001</v>
      </c>
      <c r="I50" s="92">
        <f t="shared" si="28"/>
        <v>15.873301702257105</v>
      </c>
      <c r="J50" s="92">
        <f t="shared" si="28"/>
        <v>16.28384208792238</v>
      </c>
      <c r="K50" s="92">
        <f t="shared" si="28"/>
        <v>16.699659692832391</v>
      </c>
      <c r="L50" s="92">
        <f t="shared" si="28"/>
        <v>17.120756320541741</v>
      </c>
      <c r="M50" s="92">
        <f t="shared" si="28"/>
        <v>17.547133797503452</v>
      </c>
      <c r="N50" s="70"/>
    </row>
    <row r="51" spans="1:14" x14ac:dyDescent="0.3">
      <c r="A51" s="101">
        <f t="shared" si="19"/>
        <v>0</v>
      </c>
      <c r="B51" s="97" t="s">
        <v>122</v>
      </c>
      <c r="C51" s="91">
        <f t="shared" ref="C51:M51" si="29">$W18*(COSH(C$40/(2*$W18))-1)</f>
        <v>10.013958293784004</v>
      </c>
      <c r="D51" s="91">
        <f t="shared" si="29"/>
        <v>10.294351891868137</v>
      </c>
      <c r="E51" s="91">
        <f t="shared" si="29"/>
        <v>10.578629459295323</v>
      </c>
      <c r="F51" s="91">
        <f t="shared" si="29"/>
        <v>10.866791673568011</v>
      </c>
      <c r="G51" s="91">
        <f t="shared" si="29"/>
        <v>11.158839221444978</v>
      </c>
      <c r="H51" s="91">
        <f t="shared" si="29"/>
        <v>11.454772798944932</v>
      </c>
      <c r="I51" s="91">
        <f t="shared" si="29"/>
        <v>11.75459311134794</v>
      </c>
      <c r="J51" s="91">
        <f t="shared" si="29"/>
        <v>12.058300873197956</v>
      </c>
      <c r="K51" s="91">
        <f t="shared" si="29"/>
        <v>12.365896808302448</v>
      </c>
      <c r="L51" s="91">
        <f t="shared" si="29"/>
        <v>12.677381649735649</v>
      </c>
      <c r="M51" s="91">
        <f t="shared" si="29"/>
        <v>12.992756139840344</v>
      </c>
      <c r="N51" s="70"/>
    </row>
    <row r="52" spans="1:14" x14ac:dyDescent="0.3">
      <c r="A52" s="100">
        <f t="shared" si="19"/>
        <v>15</v>
      </c>
      <c r="B52" s="96" t="s">
        <v>122</v>
      </c>
      <c r="C52" s="92">
        <f t="shared" ref="C52:M52" si="30">$W19*(COSH(C$40/(2*$W19))-1)</f>
        <v>9.5289127798348048</v>
      </c>
      <c r="D52" s="92">
        <f t="shared" si="30"/>
        <v>9.7956983642818365</v>
      </c>
      <c r="E52" s="92">
        <f t="shared" si="30"/>
        <v>10.066177944351145</v>
      </c>
      <c r="F52" s="92">
        <f t="shared" si="30"/>
        <v>10.340352103838221</v>
      </c>
      <c r="G52" s="92">
        <f t="shared" si="30"/>
        <v>10.618221434513792</v>
      </c>
      <c r="H52" s="92">
        <f t="shared" si="30"/>
        <v>10.899786536124568</v>
      </c>
      <c r="I52" s="92">
        <f t="shared" si="30"/>
        <v>11.185048016393626</v>
      </c>
      <c r="J52" s="92">
        <f t="shared" si="30"/>
        <v>11.474006491022301</v>
      </c>
      <c r="K52" s="92">
        <f t="shared" si="30"/>
        <v>11.766662583691312</v>
      </c>
      <c r="L52" s="92">
        <f t="shared" si="30"/>
        <v>12.0630169260619</v>
      </c>
      <c r="M52" s="92">
        <f t="shared" si="30"/>
        <v>12.363070157778852</v>
      </c>
      <c r="N52" s="70"/>
    </row>
    <row r="53" spans="1:14" ht="15" thickBot="1" x14ac:dyDescent="0.35">
      <c r="A53" s="102">
        <f t="shared" si="19"/>
        <v>15</v>
      </c>
      <c r="B53" s="98" t="s">
        <v>122</v>
      </c>
      <c r="C53" s="91">
        <f t="shared" ref="C53:M53" si="31">$W20*(COSH(C$40/(2*$W20))-1)</f>
        <v>9.5734121627732698</v>
      </c>
      <c r="D53" s="91">
        <f t="shared" si="31"/>
        <v>9.8414460154109413</v>
      </c>
      <c r="E53" s="91">
        <f t="shared" si="31"/>
        <v>10.113191280732728</v>
      </c>
      <c r="F53" s="91">
        <f t="shared" si="31"/>
        <v>10.388648550746984</v>
      </c>
      <c r="G53" s="91">
        <f t="shared" si="31"/>
        <v>10.667818425549607</v>
      </c>
      <c r="H53" s="91">
        <f t="shared" si="31"/>
        <v>10.950701513324402</v>
      </c>
      <c r="I53" s="91">
        <f t="shared" si="31"/>
        <v>11.237298430344605</v>
      </c>
      <c r="J53" s="91">
        <f t="shared" si="31"/>
        <v>11.527609800973616</v>
      </c>
      <c r="K53" s="91">
        <f t="shared" si="31"/>
        <v>11.821636257667269</v>
      </c>
      <c r="L53" s="91">
        <f t="shared" si="31"/>
        <v>12.119378440975325</v>
      </c>
      <c r="M53" s="91">
        <f t="shared" si="31"/>
        <v>12.420836999541862</v>
      </c>
      <c r="N53" s="70"/>
    </row>
    <row r="54" spans="1:14" ht="10.199999999999999" customHeight="1" x14ac:dyDescent="0.3">
      <c r="A54" s="74"/>
      <c r="B54" s="75"/>
      <c r="C54" s="75"/>
      <c r="D54" s="75"/>
      <c r="E54" s="75"/>
      <c r="F54" s="75"/>
      <c r="G54" s="75"/>
      <c r="H54" s="75"/>
      <c r="I54" s="75"/>
      <c r="J54" s="75"/>
      <c r="K54" s="75"/>
      <c r="L54" s="75"/>
      <c r="M54" s="76"/>
      <c r="N54" s="77"/>
    </row>
    <row r="55" spans="1:14" ht="10.199999999999999" customHeight="1" x14ac:dyDescent="0.3">
      <c r="A55" s="610" t="s">
        <v>127</v>
      </c>
      <c r="B55" s="610"/>
      <c r="C55" s="610"/>
      <c r="D55" s="610"/>
      <c r="E55" s="610"/>
      <c r="F55" s="610"/>
      <c r="G55" s="610"/>
      <c r="H55" s="611" t="s">
        <v>128</v>
      </c>
      <c r="I55" s="611"/>
      <c r="J55" s="611"/>
      <c r="K55" s="611" t="s">
        <v>129</v>
      </c>
      <c r="L55" s="611"/>
      <c r="M55" s="611"/>
      <c r="N55" s="77"/>
    </row>
    <row r="56" spans="1:14" ht="10.199999999999999" customHeight="1" x14ac:dyDescent="0.3">
      <c r="A56" s="610"/>
      <c r="B56" s="610"/>
      <c r="C56" s="610"/>
      <c r="D56" s="610"/>
      <c r="E56" s="610"/>
      <c r="F56" s="610"/>
      <c r="G56" s="610"/>
      <c r="H56" s="608" t="s">
        <v>130</v>
      </c>
      <c r="I56" s="608"/>
      <c r="J56" s="608"/>
      <c r="K56" s="608" t="s">
        <v>130</v>
      </c>
      <c r="L56" s="608"/>
      <c r="M56" s="608"/>
      <c r="N56" s="78"/>
    </row>
    <row r="57" spans="1:14" ht="10.199999999999999" customHeight="1" x14ac:dyDescent="0.3">
      <c r="A57" s="610" t="s">
        <v>139</v>
      </c>
      <c r="B57" s="610"/>
      <c r="C57" s="610"/>
      <c r="D57" s="610"/>
      <c r="E57" s="610"/>
      <c r="F57" s="610"/>
      <c r="G57" s="610"/>
      <c r="H57" s="609"/>
      <c r="I57" s="609"/>
      <c r="J57" s="609"/>
      <c r="K57" s="609"/>
      <c r="L57" s="609"/>
      <c r="M57" s="609"/>
      <c r="N57" s="78"/>
    </row>
    <row r="58" spans="1:14" ht="10.199999999999999" customHeight="1" x14ac:dyDescent="0.3">
      <c r="A58" s="610"/>
      <c r="B58" s="610"/>
      <c r="C58" s="610"/>
      <c r="D58" s="610"/>
      <c r="E58" s="610"/>
      <c r="F58" s="610"/>
      <c r="G58" s="610"/>
      <c r="H58" s="611" t="s">
        <v>131</v>
      </c>
      <c r="I58" s="611"/>
      <c r="J58" s="611"/>
      <c r="K58" s="611" t="s">
        <v>132</v>
      </c>
      <c r="L58" s="611"/>
      <c r="M58" s="611"/>
      <c r="N58" s="77"/>
    </row>
    <row r="59" spans="1:14" ht="10.199999999999999" customHeight="1" x14ac:dyDescent="0.3">
      <c r="A59" s="610" t="s">
        <v>133</v>
      </c>
      <c r="B59" s="610"/>
      <c r="C59" s="610"/>
      <c r="D59" s="610"/>
      <c r="E59" s="610"/>
      <c r="F59" s="610"/>
      <c r="G59" s="610"/>
      <c r="H59" s="608" t="s">
        <v>130</v>
      </c>
      <c r="I59" s="608"/>
      <c r="J59" s="608"/>
      <c r="K59" s="608" t="s">
        <v>130</v>
      </c>
      <c r="L59" s="608"/>
      <c r="M59" s="608"/>
      <c r="N59" s="78"/>
    </row>
    <row r="60" spans="1:14" ht="10.199999999999999" customHeight="1" x14ac:dyDescent="0.3">
      <c r="A60" s="610"/>
      <c r="B60" s="610"/>
      <c r="C60" s="610"/>
      <c r="D60" s="610"/>
      <c r="E60" s="610"/>
      <c r="F60" s="610"/>
      <c r="G60" s="610"/>
      <c r="H60" s="609"/>
      <c r="I60" s="609"/>
      <c r="J60" s="609"/>
      <c r="K60" s="609"/>
      <c r="L60" s="609"/>
      <c r="M60" s="609"/>
      <c r="N60" s="78"/>
    </row>
    <row r="61" spans="1:14" ht="10.199999999999999" customHeight="1" x14ac:dyDescent="0.3">
      <c r="A61" s="610" t="s">
        <v>146</v>
      </c>
      <c r="B61" s="610"/>
      <c r="C61" s="610"/>
      <c r="D61" s="610"/>
      <c r="E61" s="610"/>
      <c r="F61" s="610"/>
      <c r="G61" s="610"/>
      <c r="H61" s="611" t="s">
        <v>134</v>
      </c>
      <c r="I61" s="611"/>
      <c r="J61" s="611"/>
      <c r="K61" s="611"/>
      <c r="L61" s="611" t="s">
        <v>135</v>
      </c>
      <c r="M61" s="611"/>
      <c r="N61" s="77"/>
    </row>
    <row r="62" spans="1:14" ht="10.199999999999999" customHeight="1" x14ac:dyDescent="0.3">
      <c r="A62" s="610"/>
      <c r="B62" s="610"/>
      <c r="C62" s="610"/>
      <c r="D62" s="610"/>
      <c r="E62" s="610"/>
      <c r="F62" s="610"/>
      <c r="G62" s="610"/>
      <c r="H62" s="612" t="s">
        <v>136</v>
      </c>
      <c r="I62" s="612"/>
      <c r="J62" s="612"/>
      <c r="K62" s="612"/>
      <c r="L62" s="612">
        <v>0</v>
      </c>
      <c r="M62" s="612"/>
      <c r="N62" s="79"/>
    </row>
    <row r="63" spans="1:14" ht="10.199999999999999" customHeight="1" x14ac:dyDescent="0.3">
      <c r="A63" s="83" t="s">
        <v>135</v>
      </c>
      <c r="B63" s="614" t="s">
        <v>137</v>
      </c>
      <c r="C63" s="614"/>
      <c r="D63" s="614"/>
      <c r="E63" s="605" t="s">
        <v>132</v>
      </c>
      <c r="F63" s="605"/>
      <c r="G63" s="83" t="s">
        <v>138</v>
      </c>
      <c r="H63" s="613"/>
      <c r="I63" s="613"/>
      <c r="J63" s="613"/>
      <c r="K63" s="613"/>
      <c r="L63" s="613"/>
      <c r="M63" s="613"/>
      <c r="N63" s="79"/>
    </row>
    <row r="64" spans="1:14" ht="10.199999999999999" customHeight="1" x14ac:dyDescent="0.3">
      <c r="A64" s="84"/>
      <c r="B64" s="605"/>
      <c r="C64" s="605"/>
      <c r="D64" s="605"/>
      <c r="E64" s="606"/>
      <c r="F64" s="607"/>
      <c r="G64" s="84"/>
      <c r="H64" s="613"/>
      <c r="I64" s="613"/>
      <c r="J64" s="613"/>
      <c r="K64" s="613"/>
      <c r="L64" s="613"/>
      <c r="M64" s="613"/>
      <c r="N64" s="79"/>
    </row>
    <row r="65" spans="1:14" ht="10.199999999999999" customHeight="1" x14ac:dyDescent="0.3">
      <c r="A65" s="84"/>
      <c r="B65" s="605"/>
      <c r="C65" s="605"/>
      <c r="D65" s="605"/>
      <c r="E65" s="607"/>
      <c r="F65" s="607"/>
      <c r="G65" s="84"/>
      <c r="H65" s="77"/>
      <c r="I65" s="77"/>
      <c r="J65" s="77"/>
      <c r="K65" s="77"/>
      <c r="L65" s="77"/>
      <c r="M65" s="77"/>
      <c r="N65" s="77"/>
    </row>
    <row r="66" spans="1:14" ht="10.199999999999999" customHeight="1" x14ac:dyDescent="0.3">
      <c r="A66" s="84"/>
      <c r="B66" s="605"/>
      <c r="C66" s="605"/>
      <c r="D66" s="605"/>
      <c r="E66" s="607"/>
      <c r="F66" s="607"/>
      <c r="G66" s="84"/>
      <c r="H66" s="77"/>
      <c r="I66" s="77"/>
      <c r="J66" s="77"/>
      <c r="K66" s="77"/>
      <c r="L66" s="77"/>
      <c r="M66" s="77"/>
      <c r="N66" s="77"/>
    </row>
    <row r="67" spans="1:14" ht="10.199999999999999" customHeight="1" x14ac:dyDescent="0.3">
      <c r="A67" s="84"/>
      <c r="B67" s="605"/>
      <c r="C67" s="605"/>
      <c r="D67" s="605"/>
      <c r="E67" s="606"/>
      <c r="F67" s="607"/>
      <c r="G67" s="84"/>
      <c r="H67" s="77"/>
      <c r="I67" s="77"/>
      <c r="J67" s="77"/>
      <c r="K67" s="77"/>
      <c r="L67" s="77"/>
      <c r="M67" s="77"/>
      <c r="N67" s="77"/>
    </row>
    <row r="68" spans="1:14" ht="10.199999999999999" customHeight="1" x14ac:dyDescent="0.3">
      <c r="A68" s="84"/>
      <c r="B68" s="605"/>
      <c r="C68" s="605"/>
      <c r="D68" s="605"/>
      <c r="E68" s="607"/>
      <c r="F68" s="607"/>
      <c r="G68" s="84"/>
      <c r="H68" s="77"/>
      <c r="I68" s="77"/>
      <c r="J68" s="77"/>
      <c r="K68" s="77"/>
      <c r="L68" s="77"/>
      <c r="M68" s="77"/>
      <c r="N68" s="77"/>
    </row>
    <row r="69" spans="1:14" x14ac:dyDescent="0.3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</row>
  </sheetData>
  <mergeCells count="34">
    <mergeCell ref="C6:M6"/>
    <mergeCell ref="C7:M7"/>
    <mergeCell ref="C22:M22"/>
    <mergeCell ref="C23:M23"/>
    <mergeCell ref="C38:M38"/>
    <mergeCell ref="K55:M55"/>
    <mergeCell ref="H56:J57"/>
    <mergeCell ref="K56:M57"/>
    <mergeCell ref="A57:G58"/>
    <mergeCell ref="H58:J58"/>
    <mergeCell ref="K58:M58"/>
    <mergeCell ref="A55:G56"/>
    <mergeCell ref="H55:J55"/>
    <mergeCell ref="L62:M64"/>
    <mergeCell ref="B63:D63"/>
    <mergeCell ref="E63:F63"/>
    <mergeCell ref="A59:G60"/>
    <mergeCell ref="H59:J60"/>
    <mergeCell ref="C39:M39"/>
    <mergeCell ref="B67:D67"/>
    <mergeCell ref="E67:F67"/>
    <mergeCell ref="B68:D68"/>
    <mergeCell ref="E68:F68"/>
    <mergeCell ref="B64:D64"/>
    <mergeCell ref="E64:F64"/>
    <mergeCell ref="B65:D65"/>
    <mergeCell ref="E65:F65"/>
    <mergeCell ref="B66:D66"/>
    <mergeCell ref="E66:F66"/>
    <mergeCell ref="K59:M60"/>
    <mergeCell ref="A61:G62"/>
    <mergeCell ref="H61:K61"/>
    <mergeCell ref="L61:M61"/>
    <mergeCell ref="H62:K64"/>
  </mergeCells>
  <pageMargins left="0.70866141732283472" right="0.39370078740157483" top="0.39370078740157483" bottom="0.39370078740157483" header="0" footer="0"/>
  <pageSetup paperSize="9" scale="85" orientation="portrait" r:id="rId1"/>
  <ignoredErrors>
    <ignoredError sqref="H25:H3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lad5.hamtaDataRegTab">
                <anchor moveWithCells="1" sizeWithCells="1">
                  <from>
                    <xdr:col>17</xdr:col>
                    <xdr:colOff>0</xdr:colOff>
                    <xdr:row>3</xdr:row>
                    <xdr:rowOff>152400</xdr:rowOff>
                  </from>
                  <to>
                    <xdr:col>19</xdr:col>
                    <xdr:colOff>60960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33"/>
  <sheetViews>
    <sheetView tabSelected="1" zoomScale="70" zoomScaleNormal="70" workbookViewId="0">
      <selection activeCell="Q32" sqref="Q32"/>
    </sheetView>
  </sheetViews>
  <sheetFormatPr defaultRowHeight="14.4" x14ac:dyDescent="0.3"/>
  <cols>
    <col min="1" max="1" width="4.5546875" customWidth="1"/>
    <col min="2" max="2" width="20.5546875" customWidth="1"/>
    <col min="3" max="4" width="9.33203125" customWidth="1"/>
    <col min="7" max="7" width="6.6640625" customWidth="1"/>
    <col min="8" max="8" width="6" customWidth="1"/>
    <col min="9" max="9" width="6.44140625" customWidth="1"/>
    <col min="10" max="10" width="6" customWidth="1"/>
    <col min="11" max="11" width="41.44140625" customWidth="1"/>
  </cols>
  <sheetData>
    <row r="1" spans="1:25" ht="15.6" x14ac:dyDescent="0.3">
      <c r="A1" s="532" t="s">
        <v>410</v>
      </c>
      <c r="B1" s="533"/>
      <c r="C1" s="534" t="str">
        <f>'Sag-Tension'!C5</f>
        <v>593 AL59</v>
      </c>
      <c r="D1" s="535"/>
      <c r="E1" s="536"/>
      <c r="F1" s="537"/>
      <c r="G1" s="538"/>
      <c r="H1" s="542" t="str">
        <f>'Sag-Tension'!Q4</f>
        <v>593 AL59</v>
      </c>
      <c r="I1" s="543"/>
      <c r="J1" s="543"/>
      <c r="K1" s="508"/>
      <c r="L1" s="508"/>
      <c r="M1" s="508"/>
      <c r="N1" s="508"/>
      <c r="O1" s="508"/>
      <c r="P1" s="508"/>
      <c r="Q1" s="508"/>
      <c r="R1" s="508"/>
      <c r="S1" s="508"/>
      <c r="T1" s="508"/>
      <c r="U1" s="508"/>
      <c r="V1" s="508"/>
      <c r="W1" s="508"/>
      <c r="X1" s="509"/>
    </row>
    <row r="2" spans="1:25" x14ac:dyDescent="0.3">
      <c r="A2" s="539">
        <v>1</v>
      </c>
      <c r="B2" s="403" t="s">
        <v>377</v>
      </c>
      <c r="C2" s="531">
        <f>'Sag-Tension'!C6</f>
        <v>593</v>
      </c>
      <c r="D2" s="459" t="s">
        <v>90</v>
      </c>
      <c r="E2" s="498"/>
      <c r="F2" s="498"/>
      <c r="G2" s="436"/>
      <c r="H2" s="376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510"/>
    </row>
    <row r="3" spans="1:25" x14ac:dyDescent="0.3">
      <c r="A3" s="539">
        <v>2</v>
      </c>
      <c r="B3" s="403" t="s">
        <v>91</v>
      </c>
      <c r="C3" s="404">
        <f>'Sag-Tension'!C7</f>
        <v>31.7</v>
      </c>
      <c r="D3" s="459" t="s">
        <v>93</v>
      </c>
      <c r="E3" s="498"/>
      <c r="F3" s="498"/>
      <c r="G3" s="436"/>
      <c r="H3" s="376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510"/>
    </row>
    <row r="4" spans="1:25" ht="15" x14ac:dyDescent="0.35">
      <c r="A4" s="539">
        <v>3</v>
      </c>
      <c r="B4" s="403" t="s">
        <v>378</v>
      </c>
      <c r="C4" s="404">
        <f>'Sag-Tension'!C8</f>
        <v>16.2</v>
      </c>
      <c r="D4" s="459" t="s">
        <v>92</v>
      </c>
      <c r="E4" s="498"/>
      <c r="F4" s="498"/>
      <c r="G4" s="436"/>
      <c r="H4" s="376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510"/>
    </row>
    <row r="5" spans="1:25" ht="15" x14ac:dyDescent="0.35">
      <c r="A5" s="539">
        <v>4</v>
      </c>
      <c r="B5" s="408" t="s">
        <v>379</v>
      </c>
      <c r="C5" s="425">
        <f>'Sag-Tension'!C9</f>
        <v>132.63069139966274</v>
      </c>
      <c r="D5" s="459" t="s">
        <v>94</v>
      </c>
      <c r="E5" s="498"/>
      <c r="F5" s="498"/>
      <c r="G5" s="436"/>
      <c r="H5" s="376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510"/>
    </row>
    <row r="6" spans="1:25" ht="15" x14ac:dyDescent="0.35">
      <c r="A6" s="539">
        <v>5</v>
      </c>
      <c r="B6" s="403" t="s">
        <v>380</v>
      </c>
      <c r="C6" s="404">
        <f>'Sag-Tension'!C10</f>
        <v>53000</v>
      </c>
      <c r="D6" s="459" t="s">
        <v>71</v>
      </c>
      <c r="E6" s="498"/>
      <c r="F6" s="498"/>
      <c r="G6" s="436"/>
      <c r="H6" s="376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510"/>
    </row>
    <row r="7" spans="1:25" ht="15" x14ac:dyDescent="0.35">
      <c r="A7" s="539">
        <v>6</v>
      </c>
      <c r="B7" s="403" t="s">
        <v>381</v>
      </c>
      <c r="C7" s="404">
        <f>'Sag-Tension'!C11</f>
        <v>60000</v>
      </c>
      <c r="D7" s="459" t="s">
        <v>72</v>
      </c>
      <c r="E7" s="459"/>
      <c r="F7" s="459"/>
      <c r="G7" s="436"/>
      <c r="H7" s="376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510"/>
    </row>
    <row r="8" spans="1:25" ht="15" x14ac:dyDescent="0.35">
      <c r="A8" s="539">
        <v>7</v>
      </c>
      <c r="B8" s="408" t="s">
        <v>382</v>
      </c>
      <c r="C8" s="404">
        <f>'Sag-Tension'!C12</f>
        <v>100</v>
      </c>
      <c r="D8" s="459" t="s">
        <v>66</v>
      </c>
      <c r="E8" s="459"/>
      <c r="F8" s="459"/>
      <c r="G8" s="436"/>
      <c r="H8" s="376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510"/>
    </row>
    <row r="9" spans="1:25" ht="15" x14ac:dyDescent="0.35">
      <c r="A9" s="539">
        <v>8</v>
      </c>
      <c r="B9" s="403" t="s">
        <v>67</v>
      </c>
      <c r="C9" s="404">
        <f>'Sag-Tension'!C13</f>
        <v>140</v>
      </c>
      <c r="D9" s="459" t="s">
        <v>383</v>
      </c>
      <c r="E9" s="459"/>
      <c r="F9" s="459"/>
      <c r="G9" s="436"/>
      <c r="H9" s="376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510"/>
    </row>
    <row r="10" spans="1:25" ht="15" x14ac:dyDescent="0.35">
      <c r="A10" s="539">
        <v>9</v>
      </c>
      <c r="B10" s="408" t="s">
        <v>384</v>
      </c>
      <c r="C10" s="404">
        <f>'Sag-Tension'!C14</f>
        <v>0.4</v>
      </c>
      <c r="D10" s="459" t="s">
        <v>68</v>
      </c>
      <c r="E10" s="459"/>
      <c r="F10" s="459"/>
      <c r="G10" s="436"/>
      <c r="H10" s="376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510"/>
    </row>
    <row r="11" spans="1:25" ht="15" x14ac:dyDescent="0.35">
      <c r="A11" s="539">
        <v>10</v>
      </c>
      <c r="B11" s="408" t="s">
        <v>385</v>
      </c>
      <c r="C11" s="409">
        <f>'Sag-Tension'!C15</f>
        <v>17.391304347826086</v>
      </c>
      <c r="D11" s="459" t="s">
        <v>69</v>
      </c>
      <c r="E11" s="459"/>
      <c r="F11" s="459"/>
      <c r="G11" s="436"/>
      <c r="H11" s="376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510"/>
    </row>
    <row r="12" spans="1:25" ht="15" x14ac:dyDescent="0.35">
      <c r="A12" s="539">
        <v>11</v>
      </c>
      <c r="B12" s="408" t="s">
        <v>386</v>
      </c>
      <c r="C12" s="404">
        <f>'Sag-Tension'!C16</f>
        <v>23</v>
      </c>
      <c r="D12" s="459" t="s">
        <v>70</v>
      </c>
      <c r="E12" s="459"/>
      <c r="F12" s="459"/>
      <c r="G12" s="436"/>
      <c r="H12" s="376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510"/>
    </row>
    <row r="13" spans="1:25" ht="15" x14ac:dyDescent="0.35">
      <c r="A13" s="540">
        <v>12</v>
      </c>
      <c r="B13" s="529" t="s">
        <v>404</v>
      </c>
      <c r="C13" s="500">
        <f>'Sag-Tension'!C18</f>
        <v>177</v>
      </c>
      <c r="D13" s="458" t="s">
        <v>78</v>
      </c>
      <c r="E13" s="376"/>
      <c r="F13" s="376"/>
      <c r="G13" s="436"/>
      <c r="H13" s="457">
        <f>'Sag-Tension'!R4</f>
        <v>177</v>
      </c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510"/>
    </row>
    <row r="14" spans="1:25" ht="15" x14ac:dyDescent="0.35">
      <c r="A14" s="540">
        <v>13</v>
      </c>
      <c r="B14" s="530" t="s">
        <v>405</v>
      </c>
      <c r="C14" s="500">
        <f>'Sag-Tension'!C19</f>
        <v>50</v>
      </c>
      <c r="D14" s="458" t="s">
        <v>77</v>
      </c>
      <c r="E14" s="376"/>
      <c r="F14" s="376"/>
      <c r="G14" s="436"/>
      <c r="H14" s="457">
        <f>'Sag-Tension'!S4</f>
        <v>50</v>
      </c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510"/>
    </row>
    <row r="15" spans="1:25" x14ac:dyDescent="0.3">
      <c r="A15" s="540">
        <v>14</v>
      </c>
      <c r="B15" s="529" t="s">
        <v>96</v>
      </c>
      <c r="C15" s="500">
        <f>'Sag-Tension'!C20</f>
        <v>14</v>
      </c>
      <c r="D15" s="458" t="s">
        <v>80</v>
      </c>
      <c r="E15" s="376"/>
      <c r="F15" s="376"/>
      <c r="G15" s="436"/>
      <c r="H15" s="457">
        <f>'Sag-Tension'!T4</f>
        <v>14</v>
      </c>
      <c r="I15" s="17"/>
      <c r="J15" s="17"/>
      <c r="K15" s="17"/>
      <c r="L15" s="17"/>
      <c r="M15" s="17"/>
      <c r="N15" s="17"/>
      <c r="O15" s="503" t="s">
        <v>269</v>
      </c>
      <c r="P15" s="504"/>
      <c r="Q15" s="503" t="s">
        <v>151</v>
      </c>
      <c r="R15" s="505"/>
      <c r="S15" s="504"/>
      <c r="T15" s="511"/>
      <c r="U15" s="503" t="s">
        <v>150</v>
      </c>
      <c r="V15" s="504"/>
      <c r="W15" s="464" t="s">
        <v>255</v>
      </c>
      <c r="X15" s="510"/>
    </row>
    <row r="16" spans="1:25" ht="14.4" customHeight="1" x14ac:dyDescent="0.35">
      <c r="A16" s="540">
        <v>15</v>
      </c>
      <c r="B16" s="529" t="s">
        <v>406</v>
      </c>
      <c r="C16" s="489">
        <f>'Sag-Tension'!I3</f>
        <v>-40</v>
      </c>
      <c r="D16" s="545" t="s">
        <v>99</v>
      </c>
      <c r="E16" s="546"/>
      <c r="F16" s="436"/>
      <c r="G16" s="436"/>
      <c r="H16" s="436"/>
      <c r="I16" s="436"/>
      <c r="J16" s="436"/>
      <c r="K16" s="501" t="s">
        <v>340</v>
      </c>
      <c r="L16" s="460" t="s">
        <v>74</v>
      </c>
      <c r="M16" s="460" t="s">
        <v>74</v>
      </c>
      <c r="N16" s="460" t="s">
        <v>75</v>
      </c>
      <c r="O16" s="460" t="s">
        <v>254</v>
      </c>
      <c r="P16" s="460" t="s">
        <v>256</v>
      </c>
      <c r="Q16" s="460" t="s">
        <v>258</v>
      </c>
      <c r="R16" s="460" t="s">
        <v>260</v>
      </c>
      <c r="S16" s="460" t="s">
        <v>261</v>
      </c>
      <c r="T16" s="460" t="s">
        <v>263</v>
      </c>
      <c r="U16" s="460" t="s">
        <v>258</v>
      </c>
      <c r="V16" s="460" t="s">
        <v>260</v>
      </c>
      <c r="W16" s="460" t="s">
        <v>266</v>
      </c>
      <c r="X16" s="512" t="s">
        <v>74</v>
      </c>
      <c r="Y16" s="274"/>
    </row>
    <row r="17" spans="1:25" ht="15" customHeight="1" x14ac:dyDescent="0.35">
      <c r="A17" s="540">
        <v>16</v>
      </c>
      <c r="B17" s="529" t="s">
        <v>407</v>
      </c>
      <c r="C17" s="547">
        <f>'Sag-Tension'!I4</f>
        <v>50</v>
      </c>
      <c r="D17" s="545" t="s">
        <v>100</v>
      </c>
      <c r="E17" s="499"/>
      <c r="F17" s="17"/>
      <c r="G17" s="277" t="s">
        <v>295</v>
      </c>
      <c r="H17" s="278" t="s">
        <v>98</v>
      </c>
      <c r="I17" s="279" t="s">
        <v>296</v>
      </c>
      <c r="J17" s="280" t="s">
        <v>297</v>
      </c>
      <c r="K17" s="502" t="s">
        <v>341</v>
      </c>
      <c r="L17" s="461" t="s">
        <v>252</v>
      </c>
      <c r="M17" s="461" t="s">
        <v>253</v>
      </c>
      <c r="N17" s="461" t="s">
        <v>253</v>
      </c>
      <c r="O17" s="461" t="s">
        <v>257</v>
      </c>
      <c r="P17" s="461" t="s">
        <v>257</v>
      </c>
      <c r="Q17" s="461" t="s">
        <v>259</v>
      </c>
      <c r="R17" s="461" t="s">
        <v>259</v>
      </c>
      <c r="S17" s="461" t="s">
        <v>262</v>
      </c>
      <c r="T17" s="461" t="s">
        <v>264</v>
      </c>
      <c r="U17" s="461" t="s">
        <v>265</v>
      </c>
      <c r="V17" s="461" t="s">
        <v>265</v>
      </c>
      <c r="W17" s="461" t="s">
        <v>267</v>
      </c>
      <c r="X17" s="513" t="s">
        <v>268</v>
      </c>
      <c r="Y17" s="274"/>
    </row>
    <row r="18" spans="1:25" x14ac:dyDescent="0.3">
      <c r="A18" s="540">
        <v>17</v>
      </c>
      <c r="B18" s="506" t="s">
        <v>177</v>
      </c>
      <c r="C18" s="507" t="s">
        <v>73</v>
      </c>
      <c r="D18" s="507" t="s">
        <v>74</v>
      </c>
      <c r="E18" s="507" t="s">
        <v>75</v>
      </c>
      <c r="F18" s="507" t="s">
        <v>76</v>
      </c>
      <c r="G18" s="277" t="s">
        <v>298</v>
      </c>
      <c r="H18" s="278" t="s">
        <v>25</v>
      </c>
      <c r="I18" s="279" t="s">
        <v>23</v>
      </c>
      <c r="J18" s="280" t="s">
        <v>299</v>
      </c>
      <c r="K18" s="462"/>
      <c r="L18" s="463" t="s">
        <v>403</v>
      </c>
      <c r="M18" s="463" t="s">
        <v>22</v>
      </c>
      <c r="N18" s="463" t="s">
        <v>22</v>
      </c>
      <c r="O18" s="463" t="s">
        <v>24</v>
      </c>
      <c r="P18" s="463" t="s">
        <v>29</v>
      </c>
      <c r="Q18" s="463" t="s">
        <v>86</v>
      </c>
      <c r="R18" s="463" t="s">
        <v>89</v>
      </c>
      <c r="S18" s="463" t="s">
        <v>86</v>
      </c>
      <c r="T18" s="463" t="s">
        <v>87</v>
      </c>
      <c r="U18" s="463" t="s">
        <v>86</v>
      </c>
      <c r="V18" s="463" t="s">
        <v>89</v>
      </c>
      <c r="W18" s="463" t="s">
        <v>86</v>
      </c>
      <c r="X18" s="514"/>
      <c r="Y18" s="274"/>
    </row>
    <row r="19" spans="1:25" x14ac:dyDescent="0.3">
      <c r="A19" s="540">
        <v>18</v>
      </c>
      <c r="B19" s="465" t="str">
        <f>IF('Sag-Tension'!H8&lt;&gt;0,'Sag-Tension'!H8,"")</f>
        <v>Init.stress</v>
      </c>
      <c r="C19" s="544">
        <f>'Sag-Tension'!I8</f>
        <v>0</v>
      </c>
      <c r="D19" s="467">
        <f>'Sag-Tension'!J8</f>
        <v>0</v>
      </c>
      <c r="E19" s="467">
        <f>'Sag-Tension'!K8</f>
        <v>0</v>
      </c>
      <c r="F19" s="467" t="str">
        <f>'Sag-Tension'!L8</f>
        <v>B</v>
      </c>
      <c r="G19" s="466" t="str">
        <f>IF('Sag-Tension'!M8&lt;&gt;0,'Sag-Tension'!M8,"")</f>
        <v/>
      </c>
      <c r="H19" s="466" t="str">
        <f>IF('Sag-Tension'!N8&lt;&gt;0,'Sag-Tension'!N8,"")</f>
        <v/>
      </c>
      <c r="I19" s="466" t="str">
        <f>IF('Sag-Tension'!O8&lt;&gt;0,'Sag-Tension'!O8,"")</f>
        <v/>
      </c>
      <c r="J19" s="468" t="str">
        <f>IF('Sag-Tension'!P8&lt;&gt;0,'Sag-Tension'!P8,"")</f>
        <v/>
      </c>
      <c r="K19" s="469" t="str">
        <f>IF('Sag-Tension'!Q8&lt;&gt;0,'Sag-Tension'!Q8,"")</f>
        <v>0°C, no wind load, no ice load, before creep</v>
      </c>
      <c r="L19" s="470">
        <f>'Sag-Tension'!R8</f>
        <v>0</v>
      </c>
      <c r="M19" s="471">
        <f>'Sag-Tension'!S8</f>
        <v>0</v>
      </c>
      <c r="N19" s="471">
        <f>'Sag-Tension'!T8</f>
        <v>0</v>
      </c>
      <c r="O19" s="471">
        <f>'Sag-Tension'!U8</f>
        <v>49.999375343322754</v>
      </c>
      <c r="P19" s="471">
        <f>'Sag-Tension'!V8</f>
        <v>29.649629578590392</v>
      </c>
      <c r="Q19" s="471">
        <f>'Sag-Tension'!W8</f>
        <v>2.1401140009073916</v>
      </c>
      <c r="R19" s="472">
        <f>'Sag-Tension'!X8</f>
        <v>273.2438317095843</v>
      </c>
      <c r="S19" s="472">
        <f>'Sag-Tension'!Y8</f>
        <v>1830.2240480611354</v>
      </c>
      <c r="T19" s="473">
        <f>'Sag-Tension'!Z8</f>
        <v>0</v>
      </c>
      <c r="U19" s="471">
        <f>'Sag-Tension'!AA8</f>
        <v>2.1401140009073916</v>
      </c>
      <c r="V19" s="472">
        <f>'Sag-Tension'!AB8</f>
        <v>273.2438317095843</v>
      </c>
      <c r="W19" s="471">
        <f>'Sag-Tension'!AC8</f>
        <v>0</v>
      </c>
      <c r="X19" s="515">
        <f>'Sag-Tension'!AD8</f>
        <v>0</v>
      </c>
      <c r="Y19" s="274"/>
    </row>
    <row r="20" spans="1:25" x14ac:dyDescent="0.3">
      <c r="A20" s="540">
        <v>19</v>
      </c>
      <c r="B20" s="465" t="str">
        <f>IF('Sag-Tension'!H9&lt;&gt;0,'Sag-Tension'!H9,"")</f>
        <v>Max.stress</v>
      </c>
      <c r="C20" s="466">
        <f>'Sag-Tension'!I9</f>
        <v>0</v>
      </c>
      <c r="D20" s="467">
        <f>'Sag-Tension'!J9</f>
        <v>0</v>
      </c>
      <c r="E20" s="467" t="str">
        <f>'Sag-Tension'!K9</f>
        <v>N</v>
      </c>
      <c r="F20" s="467" t="str">
        <f>'Sag-Tension'!L9</f>
        <v>B</v>
      </c>
      <c r="G20" s="466" t="str">
        <f>IF('Sag-Tension'!M9&lt;&gt;0,'Sag-Tension'!M9,"")</f>
        <v/>
      </c>
      <c r="H20" s="466" t="str">
        <f>IF('Sag-Tension'!N9&lt;&gt;0,'Sag-Tension'!N9,"")</f>
        <v/>
      </c>
      <c r="I20" s="466" t="str">
        <f>IF('Sag-Tension'!O9&lt;&gt;0,'Sag-Tension'!O9,"")</f>
        <v/>
      </c>
      <c r="J20" s="468" t="str">
        <f>IF('Sag-Tension'!P9&lt;&gt;0,'Sag-Tension'!P9,"")</f>
        <v/>
      </c>
      <c r="K20" s="474" t="str">
        <f>IF('Sag-Tension'!Q9&lt;&gt;0,'Sag-Tension'!Q9,"")</f>
        <v>0°C, no wind load, normal ice load, before creep</v>
      </c>
      <c r="L20" s="475">
        <f>'Sag-Tension'!R9</f>
        <v>0</v>
      </c>
      <c r="M20" s="471">
        <f>'Sag-Tension'!S9</f>
        <v>0</v>
      </c>
      <c r="N20" s="471">
        <f>'Sag-Tension'!T9</f>
        <v>28.61321311761056</v>
      </c>
      <c r="O20" s="471">
        <f>'Sag-Tension'!U9</f>
        <v>84.525971412658691</v>
      </c>
      <c r="P20" s="471">
        <f>'Sag-Tension'!V9</f>
        <v>50.123901047706603</v>
      </c>
      <c r="Q20" s="471">
        <f>'Sag-Tension'!W9</f>
        <v>3.5030338103772576</v>
      </c>
      <c r="R20" s="472">
        <f>'Sag-Tension'!X9</f>
        <v>447.25766036289161</v>
      </c>
      <c r="S20" s="472">
        <f>'Sag-Tension'!Y9</f>
        <v>1118.5071893005829</v>
      </c>
      <c r="T20" s="473">
        <f>'Sag-Tension'!Z9</f>
        <v>0</v>
      </c>
      <c r="U20" s="471">
        <f>'Sag-Tension'!AA9</f>
        <v>3.5030338103772576</v>
      </c>
      <c r="V20" s="472">
        <f>'Sag-Tension'!AB9</f>
        <v>447.25766036289161</v>
      </c>
      <c r="W20" s="471">
        <f>'Sag-Tension'!AC9</f>
        <v>0</v>
      </c>
      <c r="X20" s="515">
        <f>'Sag-Tension'!AD9</f>
        <v>0</v>
      </c>
      <c r="Y20" s="274"/>
    </row>
    <row r="21" spans="1:25" x14ac:dyDescent="0.3">
      <c r="A21" s="540">
        <v>20</v>
      </c>
      <c r="B21" s="465" t="str">
        <f>IF('Sag-Tension'!H10&lt;&gt;0,'Sag-Tension'!H10,"")</f>
        <v>Max.temp</v>
      </c>
      <c r="C21" s="466">
        <f>'Sag-Tension'!I10</f>
        <v>50</v>
      </c>
      <c r="D21" s="467">
        <f>'Sag-Tension'!J10</f>
        <v>0</v>
      </c>
      <c r="E21" s="467">
        <f>'Sag-Tension'!K10</f>
        <v>0</v>
      </c>
      <c r="F21" s="467" t="str">
        <f>'Sag-Tension'!L10</f>
        <v>A</v>
      </c>
      <c r="G21" s="466" t="str">
        <f>IF('Sag-Tension'!M10&lt;&gt;0,'Sag-Tension'!M10,"")</f>
        <v/>
      </c>
      <c r="H21" s="466" t="str">
        <f>IF('Sag-Tension'!N10&lt;&gt;0,'Sag-Tension'!N10,"")</f>
        <v/>
      </c>
      <c r="I21" s="466" t="str">
        <f>IF('Sag-Tension'!O10&lt;&gt;0,'Sag-Tension'!O10,"")</f>
        <v/>
      </c>
      <c r="J21" s="476" t="str">
        <f>IF('Sag-Tension'!P10&lt;&gt;0,'Sag-Tension'!P10,"")</f>
        <v/>
      </c>
      <c r="K21" s="469" t="str">
        <f>IF('Sag-Tension'!Q10&lt;&gt;0,'Sag-Tension'!Q10,"")</f>
        <v>50°C, no wind load, no ice load, after creep</v>
      </c>
      <c r="L21" s="470">
        <f>'Sag-Tension'!R10</f>
        <v>0</v>
      </c>
      <c r="M21" s="471">
        <f>'Sag-Tension'!S10</f>
        <v>0</v>
      </c>
      <c r="N21" s="471">
        <f>'Sag-Tension'!T10</f>
        <v>0</v>
      </c>
      <c r="O21" s="471">
        <f>'Sag-Tension'!U10</f>
        <v>24.71988582611084</v>
      </c>
      <c r="P21" s="471">
        <f>'Sag-Tension'!V10</f>
        <v>14.658892294883728</v>
      </c>
      <c r="Q21" s="471">
        <f>'Sag-Tension'!W10</f>
        <v>4.3312831013353952</v>
      </c>
      <c r="R21" s="472">
        <f>'Sag-Tension'!X10</f>
        <v>553.00623720328076</v>
      </c>
      <c r="S21" s="472">
        <f>'Sag-Tension'!Y10</f>
        <v>904.86989474590916</v>
      </c>
      <c r="T21" s="473">
        <f>'Sag-Tension'!Z10</f>
        <v>0</v>
      </c>
      <c r="U21" s="471">
        <f>'Sag-Tension'!AA10</f>
        <v>4.3312831013353952</v>
      </c>
      <c r="V21" s="472">
        <f>'Sag-Tension'!AB10</f>
        <v>553.00623720328076</v>
      </c>
      <c r="W21" s="471">
        <f>'Sag-Tension'!AC10</f>
        <v>0</v>
      </c>
      <c r="X21" s="515">
        <f>'Sag-Tension'!AD10</f>
        <v>0</v>
      </c>
      <c r="Y21" s="274"/>
    </row>
    <row r="22" spans="1:25" x14ac:dyDescent="0.3">
      <c r="A22" s="540">
        <v>21</v>
      </c>
      <c r="B22" s="477" t="str">
        <f>IF('Sag-Tension'!H11&lt;&gt;0,'Sag-Tension'!H11,"")</f>
        <v>1a Extreme wind</v>
      </c>
      <c r="C22" s="478">
        <f>'Sag-Tension'!I11</f>
        <v>0</v>
      </c>
      <c r="D22" s="479" t="str">
        <f>'Sag-Tension'!J11</f>
        <v>E</v>
      </c>
      <c r="E22" s="479" t="str">
        <f>'Sag-Tension'!K11</f>
        <v>0</v>
      </c>
      <c r="F22" s="480" t="str">
        <f>'Sag-Tension'!L11</f>
        <v>B</v>
      </c>
      <c r="G22" s="466" t="str">
        <f>IF('Sag-Tension'!M11&lt;&gt;0,'Sag-Tension'!M11,"")</f>
        <v/>
      </c>
      <c r="H22" s="466" t="str">
        <f>IF('Sag-Tension'!N11&lt;&gt;0,'Sag-Tension'!N11,"")</f>
        <v/>
      </c>
      <c r="I22" s="466" t="str">
        <f>IF('Sag-Tension'!O11&lt;&gt;0,'Sag-Tension'!O11,"")</f>
        <v/>
      </c>
      <c r="J22" s="468" t="str">
        <f>IF('Sag-Tension'!P11&lt;&gt;0,'Sag-Tension'!P11,"")</f>
        <v/>
      </c>
      <c r="K22" s="481" t="str">
        <f>IF('Sag-Tension'!Q11&lt;&gt;0,'Sag-Tension'!Q11,"")</f>
        <v>0°C, extreme wind load, no ice load, before creep</v>
      </c>
      <c r="L22" s="482">
        <f>'Sag-Tension'!R11</f>
        <v>824</v>
      </c>
      <c r="M22" s="483">
        <f>'Sag-Tension'!S11</f>
        <v>13.0604</v>
      </c>
      <c r="N22" s="484">
        <f>'Sag-Tension'!T11</f>
        <v>0</v>
      </c>
      <c r="O22" s="485">
        <f>'Sag-Tension'!U11</f>
        <v>56.253033638000488</v>
      </c>
      <c r="P22" s="485">
        <f>'Sag-Tension'!V11</f>
        <v>33.358048947334289</v>
      </c>
      <c r="Q22" s="485">
        <f>'Sag-Tension'!W11</f>
        <v>2.4435273154043919</v>
      </c>
      <c r="R22" s="486">
        <f>'Sag-Tension'!X11</f>
        <v>311.98280384364546</v>
      </c>
      <c r="S22" s="486">
        <f>'Sag-Tension'!Y11</f>
        <v>1603.0595232664009</v>
      </c>
      <c r="T22" s="487">
        <f>'Sag-Tension'!Z11</f>
        <v>38.875707196060318</v>
      </c>
      <c r="U22" s="485">
        <f>'Sag-Tension'!AA11</f>
        <v>1.9023096878351635</v>
      </c>
      <c r="V22" s="486">
        <f>'Sag-Tension'!AB11</f>
        <v>242.88163526894107</v>
      </c>
      <c r="W22" s="485">
        <f>'Sag-Tension'!AC11</f>
        <v>1.5336373732717512</v>
      </c>
      <c r="X22" s="516" t="str">
        <f>'Sag-Tension'!AD11</f>
        <v>Positive</v>
      </c>
      <c r="Y22" s="274"/>
    </row>
    <row r="23" spans="1:25" x14ac:dyDescent="0.3">
      <c r="A23" s="540">
        <v>22</v>
      </c>
      <c r="B23" s="488" t="str">
        <f>IF('Sag-Tension'!H12&lt;&gt;0,'Sag-Tension'!H12,"")</f>
        <v>2a Uniform ice</v>
      </c>
      <c r="C23" s="489">
        <f>'Sag-Tension'!I12</f>
        <v>0</v>
      </c>
      <c r="D23" s="490" t="str">
        <f>'Sag-Tension'!J12</f>
        <v>0</v>
      </c>
      <c r="E23" s="490" t="str">
        <f>'Sag-Tension'!K12</f>
        <v>N</v>
      </c>
      <c r="F23" s="490" t="str">
        <f>'Sag-Tension'!L12</f>
        <v>B</v>
      </c>
      <c r="G23" s="466" t="str">
        <f>IF('Sag-Tension'!M12&lt;&gt;0,'Sag-Tension'!M12,"")</f>
        <v/>
      </c>
      <c r="H23" s="466" t="str">
        <f>IF('Sag-Tension'!N12&lt;&gt;0,'Sag-Tension'!N12,"")</f>
        <v/>
      </c>
      <c r="I23" s="466" t="str">
        <f>IF('Sag-Tension'!O12&lt;&gt;0,'Sag-Tension'!O12,"")</f>
        <v/>
      </c>
      <c r="J23" s="468" t="str">
        <f>IF('Sag-Tension'!P12&lt;&gt;0,'Sag-Tension'!P12,"")</f>
        <v/>
      </c>
      <c r="K23" s="491" t="str">
        <f>IF('Sag-Tension'!Q12&lt;&gt;0,'Sag-Tension'!Q12,"")</f>
        <v>0°C, no wind load, normal ice load, before creep</v>
      </c>
      <c r="L23" s="492">
        <f>'Sag-Tension'!R12</f>
        <v>0</v>
      </c>
      <c r="M23" s="493">
        <f>'Sag-Tension'!S12</f>
        <v>0</v>
      </c>
      <c r="N23" s="494">
        <f>'Sag-Tension'!T12</f>
        <v>28.61321311761056</v>
      </c>
      <c r="O23" s="493">
        <f>'Sag-Tension'!U12</f>
        <v>84.525971412658691</v>
      </c>
      <c r="P23" s="493">
        <f>'Sag-Tension'!V12</f>
        <v>50.123901047706603</v>
      </c>
      <c r="Q23" s="493">
        <f>'Sag-Tension'!W12</f>
        <v>3.5030338103772576</v>
      </c>
      <c r="R23" s="495">
        <f>'Sag-Tension'!X12</f>
        <v>447.25766036289161</v>
      </c>
      <c r="S23" s="495">
        <f>'Sag-Tension'!Y12</f>
        <v>1118.5071893005829</v>
      </c>
      <c r="T23" s="496">
        <f>'Sag-Tension'!Z12</f>
        <v>0</v>
      </c>
      <c r="U23" s="493">
        <f>'Sag-Tension'!AA12</f>
        <v>3.5030338103772576</v>
      </c>
      <c r="V23" s="495">
        <f>'Sag-Tension'!AB12</f>
        <v>447.25766036289161</v>
      </c>
      <c r="W23" s="493">
        <f>'Sag-Tension'!AC12</f>
        <v>0</v>
      </c>
      <c r="X23" s="517">
        <f>'Sag-Tension'!AD12</f>
        <v>0</v>
      </c>
      <c r="Y23" s="274"/>
    </row>
    <row r="24" spans="1:25" x14ac:dyDescent="0.3">
      <c r="A24" s="540">
        <v>23</v>
      </c>
      <c r="B24" s="477" t="str">
        <f>IF('Sag-Tension'!H13&lt;&gt;0,'Sag-Tension'!H13,"")</f>
        <v>3 Wind and ice</v>
      </c>
      <c r="C24" s="478">
        <f>'Sag-Tension'!I13</f>
        <v>0</v>
      </c>
      <c r="D24" s="479" t="str">
        <f>'Sag-Tension'!J13</f>
        <v>N</v>
      </c>
      <c r="E24" s="479" t="str">
        <f>'Sag-Tension'!K13</f>
        <v>N</v>
      </c>
      <c r="F24" s="480" t="str">
        <f>'Sag-Tension'!L13</f>
        <v>B</v>
      </c>
      <c r="G24" s="292" t="str">
        <f>IF('Sag-Tension'!M13&lt;&gt;0,'Sag-Tension'!M13,"")</f>
        <v/>
      </c>
      <c r="H24" s="292" t="str">
        <f>IF('Sag-Tension'!N13&lt;&gt;0,'Sag-Tension'!N13,"")</f>
        <v/>
      </c>
      <c r="I24" s="292" t="str">
        <f>IF('Sag-Tension'!O13&lt;&gt;0,'Sag-Tension'!O13,"")</f>
        <v/>
      </c>
      <c r="J24" s="468" t="str">
        <f>IF('Sag-Tension'!P13&lt;&gt;0,'Sag-Tension'!P13,"")</f>
        <v/>
      </c>
      <c r="K24" s="481" t="str">
        <f>IF('Sag-Tension'!Q13&lt;&gt;0,'Sag-Tension'!Q13,"")</f>
        <v>0°C, normal wind load, normal ice load, before creep</v>
      </c>
      <c r="L24" s="482">
        <f>'Sag-Tension'!R13</f>
        <v>500</v>
      </c>
      <c r="M24" s="483">
        <f>'Sag-Tension'!S13</f>
        <v>16.925000000000001</v>
      </c>
      <c r="N24" s="497">
        <f>'Sag-Tension'!T13</f>
        <v>25.294197726</v>
      </c>
      <c r="O24" s="485">
        <f>'Sag-Tension'!U13</f>
        <v>84.525971412658691</v>
      </c>
      <c r="P24" s="485">
        <f>'Sag-Tension'!V13</f>
        <v>50.123901047706603</v>
      </c>
      <c r="Q24" s="485">
        <f>'Sag-Tension'!W13</f>
        <v>3.5030338103772576</v>
      </c>
      <c r="R24" s="486">
        <f>'Sag-Tension'!X13</f>
        <v>447.25766036289161</v>
      </c>
      <c r="S24" s="486">
        <f>'Sag-Tension'!Y13</f>
        <v>1118.5071893005829</v>
      </c>
      <c r="T24" s="487">
        <f>'Sag-Tension'!Z13</f>
        <v>22.189994082287392</v>
      </c>
      <c r="U24" s="485">
        <f>'Sag-Tension'!AA13</f>
        <v>3.2435874925365642</v>
      </c>
      <c r="V24" s="486">
        <f>'Sag-Tension'!AB13</f>
        <v>414.1322726593973</v>
      </c>
      <c r="W24" s="485">
        <f>'Sag-Tension'!AC13</f>
        <v>1.3230215625251815</v>
      </c>
      <c r="X24" s="516" t="str">
        <f>'Sag-Tension'!AD13</f>
        <v>Positive</v>
      </c>
      <c r="Y24" s="274"/>
    </row>
    <row r="25" spans="1:25" x14ac:dyDescent="0.3">
      <c r="A25" s="540">
        <v>24</v>
      </c>
      <c r="B25" s="488" t="str">
        <f>IF('Sag-Tension'!H14&lt;&gt;0,'Sag-Tension'!H14,"")</f>
        <v>Min.temp</v>
      </c>
      <c r="C25" s="489">
        <f>'Sag-Tension'!I14</f>
        <v>-40</v>
      </c>
      <c r="D25" s="490">
        <f>'Sag-Tension'!J14</f>
        <v>0</v>
      </c>
      <c r="E25" s="490">
        <f>'Sag-Tension'!K14</f>
        <v>0</v>
      </c>
      <c r="F25" s="490" t="str">
        <f>'Sag-Tension'!L14</f>
        <v>B</v>
      </c>
      <c r="G25" s="292" t="str">
        <f>IF('Sag-Tension'!M14&lt;&gt;0,'Sag-Tension'!M14,"")</f>
        <v/>
      </c>
      <c r="H25" s="292" t="str">
        <f>IF('Sag-Tension'!N14&lt;&gt;0,'Sag-Tension'!N14,"")</f>
        <v/>
      </c>
      <c r="I25" s="292" t="str">
        <f>IF('Sag-Tension'!O14&lt;&gt;0,'Sag-Tension'!O14,"")</f>
        <v/>
      </c>
      <c r="J25" s="468" t="str">
        <f>IF('Sag-Tension'!P14&lt;&gt;0,'Sag-Tension'!P14,"")</f>
        <v/>
      </c>
      <c r="K25" s="491" t="str">
        <f>IF('Sag-Tension'!Q14&lt;&gt;0,'Sag-Tension'!Q14,"")</f>
        <v>-40°C, no wind load, no ice load, before creep</v>
      </c>
      <c r="L25" s="492">
        <f>'Sag-Tension'!R14</f>
        <v>0</v>
      </c>
      <c r="M25" s="493">
        <f>'Sag-Tension'!S14</f>
        <v>0</v>
      </c>
      <c r="N25" s="494">
        <f>'Sag-Tension'!T14</f>
        <v>0</v>
      </c>
      <c r="O25" s="493">
        <f>'Sag-Tension'!U14</f>
        <v>85.229079246520996</v>
      </c>
      <c r="P25" s="493">
        <f>'Sag-Tension'!V14</f>
        <v>50.540843993186954</v>
      </c>
      <c r="Q25" s="493">
        <f>'Sag-Tension'!W14</f>
        <v>1.2553308243498116</v>
      </c>
      <c r="R25" s="495">
        <f>'Sag-Tension'!X14</f>
        <v>160.27716484405013</v>
      </c>
      <c r="S25" s="495">
        <f>'Sag-Tension'!Y14</f>
        <v>3119.8051847646266</v>
      </c>
      <c r="T25" s="496">
        <f>'Sag-Tension'!Z14</f>
        <v>0</v>
      </c>
      <c r="U25" s="493">
        <f>'Sag-Tension'!AA14</f>
        <v>1.2553308243498116</v>
      </c>
      <c r="V25" s="495">
        <f>'Sag-Tension'!AB14</f>
        <v>160.27716484405013</v>
      </c>
      <c r="W25" s="493">
        <f>'Sag-Tension'!AC14</f>
        <v>0</v>
      </c>
      <c r="X25" s="517">
        <f>'Sag-Tension'!AD14</f>
        <v>0</v>
      </c>
      <c r="Y25" s="274"/>
    </row>
    <row r="26" spans="1:25" x14ac:dyDescent="0.3">
      <c r="A26" s="540">
        <v>25</v>
      </c>
      <c r="B26" s="477" t="str">
        <f>IF('Sag-Tension'!H15&lt;&gt;0,'Sag-Tension'!H15,"")</f>
        <v>Min.temp wind</v>
      </c>
      <c r="C26" s="478">
        <f>'Sag-Tension'!I15</f>
        <v>-20</v>
      </c>
      <c r="D26" s="479" t="str">
        <f>'Sag-Tension'!J15</f>
        <v>N</v>
      </c>
      <c r="E26" s="479">
        <f>'Sag-Tension'!K15</f>
        <v>0</v>
      </c>
      <c r="F26" s="480" t="str">
        <f>'Sag-Tension'!L15</f>
        <v>B</v>
      </c>
      <c r="G26" s="292" t="str">
        <f>IF('Sag-Tension'!M15&lt;&gt;0,'Sag-Tension'!M15,"")</f>
        <v/>
      </c>
      <c r="H26" s="292" t="str">
        <f>IF('Sag-Tension'!N15&lt;&gt;0,'Sag-Tension'!N15,"")</f>
        <v/>
      </c>
      <c r="I26" s="292" t="str">
        <f>IF('Sag-Tension'!O15&lt;&gt;0,'Sag-Tension'!O15,"")</f>
        <v/>
      </c>
      <c r="J26" s="468" t="str">
        <f>IF('Sag-Tension'!P15&lt;&gt;0,'Sag-Tension'!P15,"")</f>
        <v/>
      </c>
      <c r="K26" s="481" t="str">
        <f>IF('Sag-Tension'!Q15&lt;&gt;0,'Sag-Tension'!Q15,"")</f>
        <v>-20°C, normal wind load, no ice load, before creep</v>
      </c>
      <c r="L26" s="482">
        <f>'Sag-Tension'!R15</f>
        <v>500</v>
      </c>
      <c r="M26" s="483">
        <f>'Sag-Tension'!S15</f>
        <v>7.9249999999999998</v>
      </c>
      <c r="N26" s="497">
        <f>'Sag-Tension'!T15</f>
        <v>0</v>
      </c>
      <c r="O26" s="485">
        <f>'Sag-Tension'!U15</f>
        <v>67.693303108215332</v>
      </c>
      <c r="P26" s="485">
        <f>'Sag-Tension'!V15</f>
        <v>40.142128743171689</v>
      </c>
      <c r="Q26" s="485">
        <f>'Sag-Tension'!W15</f>
        <v>1.7596208159653353</v>
      </c>
      <c r="R26" s="486">
        <f>'Sag-Tension'!X15</f>
        <v>224.66351507744716</v>
      </c>
      <c r="S26" s="486">
        <f>'Sag-Tension'!Y15</f>
        <v>2225.8437158387437</v>
      </c>
      <c r="T26" s="487">
        <f>'Sag-Tension'!Z15</f>
        <v>26.067788154408284</v>
      </c>
      <c r="U26" s="485">
        <f>'Sag-Tension'!AA15</f>
        <v>1.5806232788662415</v>
      </c>
      <c r="V26" s="486">
        <f>'Sag-Tension'!AB15</f>
        <v>201.80960501340508</v>
      </c>
      <c r="W26" s="485">
        <f>'Sag-Tension'!AC15</f>
        <v>0.77323700524783734</v>
      </c>
      <c r="X26" s="516" t="str">
        <f>'Sag-Tension'!AD15</f>
        <v>Positive</v>
      </c>
      <c r="Y26" s="274"/>
    </row>
    <row r="27" spans="1:25" x14ac:dyDescent="0.3">
      <c r="A27" s="540">
        <v>26</v>
      </c>
      <c r="B27" s="488" t="str">
        <f>IF('Sag-Tension'!H16&lt;&gt;0,'Sag-Tension'!H16,"")</f>
        <v>Min.temp stringing</v>
      </c>
      <c r="C27" s="489">
        <f>'Sag-Tension'!I16</f>
        <v>-20</v>
      </c>
      <c r="D27" s="490" t="str">
        <f>'Sag-Tension'!J16</f>
        <v>0</v>
      </c>
      <c r="E27" s="490" t="str">
        <f>'Sag-Tension'!K16</f>
        <v>0</v>
      </c>
      <c r="F27" s="490" t="str">
        <f>'Sag-Tension'!L16</f>
        <v>B</v>
      </c>
      <c r="G27" s="292" t="str">
        <f>IF('Sag-Tension'!M16&lt;&gt;0,'Sag-Tension'!M16,"")</f>
        <v/>
      </c>
      <c r="H27" s="292" t="str">
        <f>IF('Sag-Tension'!N16&lt;&gt;0,'Sag-Tension'!N16,"")</f>
        <v/>
      </c>
      <c r="I27" s="292" t="str">
        <f>IF('Sag-Tension'!O16&lt;&gt;0,'Sag-Tension'!O16,"")</f>
        <v/>
      </c>
      <c r="J27" s="468" t="str">
        <f>IF('Sag-Tension'!P16&lt;&gt;0,'Sag-Tension'!P16,"")</f>
        <v/>
      </c>
      <c r="K27" s="491" t="str">
        <f>IF('Sag-Tension'!Q16&lt;&gt;0,'Sag-Tension'!Q16,"")</f>
        <v>-20°C, no wind load, no ice load, before creep</v>
      </c>
      <c r="L27" s="492">
        <f>'Sag-Tension'!R16</f>
        <v>0</v>
      </c>
      <c r="M27" s="493">
        <f>'Sag-Tension'!S16</f>
        <v>0</v>
      </c>
      <c r="N27" s="494">
        <f>'Sag-Tension'!T16</f>
        <v>0</v>
      </c>
      <c r="O27" s="493">
        <f>'Sag-Tension'!U16</f>
        <v>65.69640064239502</v>
      </c>
      <c r="P27" s="493">
        <f>'Sag-Tension'!V16</f>
        <v>38.957965580940247</v>
      </c>
      <c r="Q27" s="493">
        <f>'Sag-Tension'!W16</f>
        <v>1.6286370296529111</v>
      </c>
      <c r="R27" s="495">
        <f>'Sag-Tension'!X16</f>
        <v>207.93986780974959</v>
      </c>
      <c r="S27" s="495">
        <f>'Sag-Tension'!Y16</f>
        <v>2404.8126901814967</v>
      </c>
      <c r="T27" s="496">
        <f>'Sag-Tension'!Z16</f>
        <v>0</v>
      </c>
      <c r="U27" s="493">
        <f>'Sag-Tension'!AA16</f>
        <v>1.6286370296529111</v>
      </c>
      <c r="V27" s="495">
        <f>'Sag-Tension'!AB16</f>
        <v>207.93986780974959</v>
      </c>
      <c r="W27" s="493">
        <f>'Sag-Tension'!AC16</f>
        <v>0</v>
      </c>
      <c r="X27" s="517">
        <f>'Sag-Tension'!AD16</f>
        <v>0</v>
      </c>
      <c r="Y27" s="274"/>
    </row>
    <row r="28" spans="1:25" x14ac:dyDescent="0.3">
      <c r="A28" s="540">
        <v>27</v>
      </c>
      <c r="B28" s="477" t="str">
        <f>IF('Sag-Tension'!H17&lt;&gt;0,'Sag-Tension'!H17,"")</f>
        <v/>
      </c>
      <c r="C28" s="478">
        <f>'Sag-Tension'!I17</f>
        <v>0</v>
      </c>
      <c r="D28" s="479">
        <f>'Sag-Tension'!J17</f>
        <v>0</v>
      </c>
      <c r="E28" s="479">
        <f>'Sag-Tension'!K17</f>
        <v>0</v>
      </c>
      <c r="F28" s="480">
        <f>'Sag-Tension'!L17</f>
        <v>0</v>
      </c>
      <c r="G28" s="292" t="str">
        <f>IF('Sag-Tension'!M17&lt;&gt;0,'Sag-Tension'!M17,"")</f>
        <v/>
      </c>
      <c r="H28" s="292" t="str">
        <f>IF('Sag-Tension'!N17&lt;&gt;0,'Sag-Tension'!N17,"")</f>
        <v/>
      </c>
      <c r="I28" s="292" t="str">
        <f>IF('Sag-Tension'!O17&lt;&gt;0,'Sag-Tension'!O17,"")</f>
        <v/>
      </c>
      <c r="J28" s="468" t="str">
        <f>IF('Sag-Tension'!P17&lt;&gt;0,'Sag-Tension'!P17,"")</f>
        <v/>
      </c>
      <c r="K28" s="481" t="str">
        <f>IF('Sag-Tension'!Q17&lt;&gt;0,'Sag-Tension'!Q17,"")</f>
        <v/>
      </c>
      <c r="L28" s="482">
        <f>'Sag-Tension'!R17</f>
        <v>0</v>
      </c>
      <c r="M28" s="483">
        <f>'Sag-Tension'!S17</f>
        <v>0</v>
      </c>
      <c r="N28" s="497">
        <f>'Sag-Tension'!T17</f>
        <v>0</v>
      </c>
      <c r="O28" s="485">
        <f>'Sag-Tension'!U17</f>
        <v>0</v>
      </c>
      <c r="P28" s="485">
        <f>'Sag-Tension'!V17</f>
        <v>0</v>
      </c>
      <c r="Q28" s="485">
        <f>'Sag-Tension'!W17</f>
        <v>0</v>
      </c>
      <c r="R28" s="486">
        <f>'Sag-Tension'!X17</f>
        <v>0</v>
      </c>
      <c r="S28" s="486">
        <f>'Sag-Tension'!Y17</f>
        <v>0</v>
      </c>
      <c r="T28" s="487">
        <f>'Sag-Tension'!Z17</f>
        <v>0</v>
      </c>
      <c r="U28" s="485">
        <f>'Sag-Tension'!AA17</f>
        <v>0</v>
      </c>
      <c r="V28" s="486">
        <f>'Sag-Tension'!AB17</f>
        <v>0</v>
      </c>
      <c r="W28" s="485">
        <f>'Sag-Tension'!AC17</f>
        <v>0</v>
      </c>
      <c r="X28" s="516">
        <f>'Sag-Tension'!AD17</f>
        <v>0</v>
      </c>
      <c r="Y28" s="274"/>
    </row>
    <row r="29" spans="1:25" x14ac:dyDescent="0.3">
      <c r="A29" s="540">
        <v>28</v>
      </c>
      <c r="B29" s="488" t="str">
        <f>IF('Sag-Tension'!H18&lt;&gt;0,'Sag-Tension'!H18,"")</f>
        <v/>
      </c>
      <c r="C29" s="489">
        <f>'Sag-Tension'!I18</f>
        <v>0</v>
      </c>
      <c r="D29" s="490">
        <f>'Sag-Tension'!J18</f>
        <v>0</v>
      </c>
      <c r="E29" s="490">
        <f>'Sag-Tension'!K18</f>
        <v>0</v>
      </c>
      <c r="F29" s="490">
        <f>'Sag-Tension'!L18</f>
        <v>0</v>
      </c>
      <c r="G29" s="292" t="str">
        <f>IF('Sag-Tension'!M18&lt;&gt;0,'Sag-Tension'!M18,"")</f>
        <v/>
      </c>
      <c r="H29" s="292" t="str">
        <f>IF('Sag-Tension'!N18&lt;&gt;0,'Sag-Tension'!N18,"")</f>
        <v/>
      </c>
      <c r="I29" s="292" t="str">
        <f>IF('Sag-Tension'!O18&lt;&gt;0,'Sag-Tension'!O18,"")</f>
        <v/>
      </c>
      <c r="J29" s="468" t="str">
        <f>IF('Sag-Tension'!P18&lt;&gt;0,'Sag-Tension'!P18,"")</f>
        <v/>
      </c>
      <c r="K29" s="491" t="str">
        <f>IF('Sag-Tension'!Q18&lt;&gt;0,'Sag-Tension'!Q18,"")</f>
        <v/>
      </c>
      <c r="L29" s="492">
        <f>'Sag-Tension'!R18</f>
        <v>0</v>
      </c>
      <c r="M29" s="493">
        <f>'Sag-Tension'!S18</f>
        <v>0</v>
      </c>
      <c r="N29" s="494">
        <f>'Sag-Tension'!T18</f>
        <v>0</v>
      </c>
      <c r="O29" s="493">
        <f>'Sag-Tension'!U18</f>
        <v>0</v>
      </c>
      <c r="P29" s="493">
        <f>'Sag-Tension'!V18</f>
        <v>0</v>
      </c>
      <c r="Q29" s="493">
        <f>'Sag-Tension'!W18</f>
        <v>0</v>
      </c>
      <c r="R29" s="495">
        <f>'Sag-Tension'!X18</f>
        <v>0</v>
      </c>
      <c r="S29" s="495">
        <f>'Sag-Tension'!Y18</f>
        <v>0</v>
      </c>
      <c r="T29" s="496">
        <f>'Sag-Tension'!Z18</f>
        <v>0</v>
      </c>
      <c r="U29" s="493">
        <f>'Sag-Tension'!AA18</f>
        <v>0</v>
      </c>
      <c r="V29" s="495">
        <f>'Sag-Tension'!AB18</f>
        <v>0</v>
      </c>
      <c r="W29" s="493">
        <f>'Sag-Tension'!AC18</f>
        <v>0</v>
      </c>
      <c r="X29" s="517">
        <f>'Sag-Tension'!AD18</f>
        <v>0</v>
      </c>
      <c r="Y29" s="274"/>
    </row>
    <row r="30" spans="1:25" x14ac:dyDescent="0.3">
      <c r="A30" s="540">
        <v>29</v>
      </c>
      <c r="B30" s="477" t="str">
        <f>IF('Sag-Tension'!H19&lt;&gt;0,'Sag-Tension'!H19,"")</f>
        <v/>
      </c>
      <c r="C30" s="478">
        <f>'Sag-Tension'!I19</f>
        <v>0</v>
      </c>
      <c r="D30" s="479">
        <f>'Sag-Tension'!J19</f>
        <v>0</v>
      </c>
      <c r="E30" s="479">
        <f>'Sag-Tension'!K19</f>
        <v>0</v>
      </c>
      <c r="F30" s="480">
        <f>'Sag-Tension'!L19</f>
        <v>0</v>
      </c>
      <c r="G30" s="292" t="str">
        <f>IF('Sag-Tension'!M19&lt;&gt;0,'Sag-Tension'!M19,"")</f>
        <v/>
      </c>
      <c r="H30" s="292" t="str">
        <f>IF('Sag-Tension'!N19&lt;&gt;0,'Sag-Tension'!N19,"")</f>
        <v/>
      </c>
      <c r="I30" s="292" t="str">
        <f>IF('Sag-Tension'!O19&lt;&gt;0,'Sag-Tension'!O19,"")</f>
        <v/>
      </c>
      <c r="J30" s="468" t="str">
        <f>IF('Sag-Tension'!P19&lt;&gt;0,'Sag-Tension'!P19,"")</f>
        <v/>
      </c>
      <c r="K30" s="481" t="str">
        <f>IF('Sag-Tension'!Q19&lt;&gt;0,'Sag-Tension'!Q19,"")</f>
        <v/>
      </c>
      <c r="L30" s="482">
        <f>'Sag-Tension'!R19</f>
        <v>0</v>
      </c>
      <c r="M30" s="485">
        <f>'Sag-Tension'!S19</f>
        <v>0</v>
      </c>
      <c r="N30" s="485">
        <f>'Sag-Tension'!T19</f>
        <v>0</v>
      </c>
      <c r="O30" s="485">
        <f>'Sag-Tension'!U19</f>
        <v>0</v>
      </c>
      <c r="P30" s="485">
        <f>'Sag-Tension'!V19</f>
        <v>0</v>
      </c>
      <c r="Q30" s="485">
        <f>'Sag-Tension'!W19</f>
        <v>0</v>
      </c>
      <c r="R30" s="486">
        <f>'Sag-Tension'!X19</f>
        <v>0</v>
      </c>
      <c r="S30" s="486">
        <f>'Sag-Tension'!Y19</f>
        <v>0</v>
      </c>
      <c r="T30" s="487">
        <f>'Sag-Tension'!Z19</f>
        <v>0</v>
      </c>
      <c r="U30" s="485">
        <f>'Sag-Tension'!AA19</f>
        <v>0</v>
      </c>
      <c r="V30" s="486">
        <f>'Sag-Tension'!AB19</f>
        <v>0</v>
      </c>
      <c r="W30" s="485">
        <f>'Sag-Tension'!AC19</f>
        <v>0</v>
      </c>
      <c r="X30" s="516">
        <f>'Sag-Tension'!AD19</f>
        <v>0</v>
      </c>
      <c r="Y30" s="274"/>
    </row>
    <row r="31" spans="1:25" ht="15" thickBot="1" x14ac:dyDescent="0.35">
      <c r="A31" s="541">
        <v>30</v>
      </c>
      <c r="B31" s="518" t="str">
        <f>IF('Sag-Tension'!H20&lt;&gt;0,'Sag-Tension'!H20,"")</f>
        <v/>
      </c>
      <c r="C31" s="519">
        <f>'Sag-Tension'!I20</f>
        <v>0</v>
      </c>
      <c r="D31" s="520">
        <f>'Sag-Tension'!J20</f>
        <v>0</v>
      </c>
      <c r="E31" s="520">
        <f>'Sag-Tension'!K20</f>
        <v>0</v>
      </c>
      <c r="F31" s="520">
        <f>'Sag-Tension'!L20</f>
        <v>0</v>
      </c>
      <c r="G31" s="521" t="str">
        <f>IF('Sag-Tension'!M20&lt;&gt;0,'Sag-Tension'!M20,"")</f>
        <v/>
      </c>
      <c r="H31" s="521" t="str">
        <f>IF('Sag-Tension'!N20&lt;&gt;0,'Sag-Tension'!N20,"")</f>
        <v/>
      </c>
      <c r="I31" s="521" t="str">
        <f>IF('Sag-Tension'!O20&lt;&gt;0,'Sag-Tension'!O20,"")</f>
        <v/>
      </c>
      <c r="J31" s="522" t="str">
        <f>IF('Sag-Tension'!P20&lt;&gt;0,'Sag-Tension'!P20,"")</f>
        <v/>
      </c>
      <c r="K31" s="523" t="str">
        <f>IF('Sag-Tension'!Q20&lt;&gt;0,'Sag-Tension'!Q20,"")</f>
        <v/>
      </c>
      <c r="L31" s="524">
        <f>'Sag-Tension'!R20</f>
        <v>0</v>
      </c>
      <c r="M31" s="525">
        <f>'Sag-Tension'!S20</f>
        <v>0</v>
      </c>
      <c r="N31" s="525">
        <f>'Sag-Tension'!T20</f>
        <v>0</v>
      </c>
      <c r="O31" s="525">
        <f>'Sag-Tension'!U20</f>
        <v>0</v>
      </c>
      <c r="P31" s="525">
        <f>'Sag-Tension'!V20</f>
        <v>0</v>
      </c>
      <c r="Q31" s="525">
        <f>'Sag-Tension'!W20</f>
        <v>0</v>
      </c>
      <c r="R31" s="526">
        <f>'Sag-Tension'!X20</f>
        <v>0</v>
      </c>
      <c r="S31" s="526">
        <f>'Sag-Tension'!Y20</f>
        <v>0</v>
      </c>
      <c r="T31" s="527">
        <f>'Sag-Tension'!Z20</f>
        <v>0</v>
      </c>
      <c r="U31" s="525">
        <f>'Sag-Tension'!AA20</f>
        <v>0</v>
      </c>
      <c r="V31" s="526">
        <f>'Sag-Tension'!AB20</f>
        <v>0</v>
      </c>
      <c r="W31" s="525">
        <f>'Sag-Tension'!AC20</f>
        <v>0</v>
      </c>
      <c r="X31" s="528">
        <f>'Sag-Tension'!AD20</f>
        <v>0</v>
      </c>
      <c r="Y31" s="274"/>
    </row>
    <row r="32" spans="1:25" x14ac:dyDescent="0.3">
      <c r="B32" s="274"/>
      <c r="C32" s="274"/>
      <c r="D32" s="274"/>
      <c r="E32" s="274"/>
      <c r="F32" s="274"/>
      <c r="G32" s="274"/>
      <c r="H32" s="274"/>
      <c r="I32" s="274"/>
      <c r="J32" s="274"/>
      <c r="K32" s="274"/>
      <c r="L32" s="274"/>
      <c r="M32" s="274"/>
      <c r="N32" s="274"/>
      <c r="O32" s="274"/>
      <c r="P32" s="274"/>
      <c r="Q32" s="274"/>
      <c r="R32" s="274"/>
      <c r="S32" s="274"/>
      <c r="T32" s="274"/>
      <c r="U32" s="274"/>
      <c r="V32" s="274"/>
      <c r="W32" s="274"/>
      <c r="X32" s="274"/>
      <c r="Y32" s="274"/>
    </row>
    <row r="33" spans="2:25" x14ac:dyDescent="0.3">
      <c r="B33" s="274"/>
      <c r="C33" s="274"/>
      <c r="D33" s="274"/>
      <c r="E33" s="274"/>
      <c r="F33" s="274"/>
      <c r="G33" s="274"/>
      <c r="H33" s="274"/>
      <c r="I33" s="274"/>
      <c r="J33" s="274"/>
      <c r="K33" s="274"/>
      <c r="L33" s="274"/>
      <c r="M33" s="274"/>
      <c r="N33" s="274"/>
      <c r="O33" s="274"/>
      <c r="P33" s="274"/>
      <c r="Q33" s="274"/>
      <c r="R33" s="274"/>
      <c r="S33" s="274"/>
      <c r="T33" s="274"/>
      <c r="U33" s="274"/>
      <c r="V33" s="274"/>
      <c r="W33" s="274"/>
      <c r="X33" s="274"/>
      <c r="Y33" s="274"/>
    </row>
  </sheetData>
  <conditionalFormatting sqref="H1">
    <cfRule type="cellIs" dxfId="8" priority="5" operator="notEqual">
      <formula>$C$1</formula>
    </cfRule>
    <cfRule type="cellIs" dxfId="7" priority="9" operator="equal">
      <formula>$C$1</formula>
    </cfRule>
  </conditionalFormatting>
  <conditionalFormatting sqref="H13">
    <cfRule type="cellIs" dxfId="6" priority="4" operator="notEqual">
      <formula>$C$13</formula>
    </cfRule>
    <cfRule type="cellIs" dxfId="5" priority="8" operator="equal">
      <formula>$C$13</formula>
    </cfRule>
  </conditionalFormatting>
  <conditionalFormatting sqref="H14">
    <cfRule type="cellIs" dxfId="4" priority="3" operator="notEqual">
      <formula>$C$14</formula>
    </cfRule>
    <cfRule type="cellIs" dxfId="3" priority="7" operator="equal">
      <formula>$C$14</formula>
    </cfRule>
  </conditionalFormatting>
  <conditionalFormatting sqref="H15">
    <cfRule type="cellIs" dxfId="2" priority="2" operator="notEqual">
      <formula>$C$15</formula>
    </cfRule>
    <cfRule type="cellIs" dxfId="1" priority="6" operator="equal">
      <formula>$C$15</formula>
    </cfRule>
  </conditionalFormatting>
  <conditionalFormatting sqref="O19:O31">
    <cfRule type="cellIs" dxfId="0" priority="1" operator="greaterThan">
      <formula>$D$9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T254"/>
  <sheetViews>
    <sheetView topLeftCell="A49" workbookViewId="0">
      <selection activeCell="E54" sqref="E54"/>
    </sheetView>
  </sheetViews>
  <sheetFormatPr defaultRowHeight="14.4" x14ac:dyDescent="0.3"/>
  <cols>
    <col min="1" max="1" width="8.88671875" style="4"/>
    <col min="2" max="2" width="3.44140625" style="2" customWidth="1"/>
    <col min="3" max="3" width="19.44140625" style="3" customWidth="1"/>
    <col min="4" max="4" width="8.88671875" style="4"/>
    <col min="5" max="5" width="20.109375" style="4" customWidth="1"/>
    <col min="6" max="6" width="9.5546875" style="4" customWidth="1"/>
    <col min="7" max="7" width="8.88671875" style="4"/>
    <col min="8" max="8" width="12.6640625" style="4" customWidth="1"/>
    <col min="9" max="9" width="14" style="4" customWidth="1"/>
    <col min="10" max="13" width="8.88671875" style="4"/>
    <col min="14" max="14" width="8.88671875" style="5"/>
    <col min="15" max="15" width="8.88671875" style="4"/>
    <col min="16" max="18" width="8.88671875" style="5"/>
  </cols>
  <sheetData>
    <row r="1" spans="1:20" s="1" customFormat="1" ht="12" x14ac:dyDescent="0.25">
      <c r="B1" s="2">
        <v>2</v>
      </c>
      <c r="C1" s="2">
        <v>3</v>
      </c>
      <c r="D1" s="2">
        <v>4</v>
      </c>
      <c r="E1" s="2">
        <v>5</v>
      </c>
      <c r="F1" s="2">
        <v>6</v>
      </c>
      <c r="G1" s="2">
        <v>7</v>
      </c>
      <c r="H1" s="2">
        <v>8</v>
      </c>
      <c r="I1" s="2">
        <v>9</v>
      </c>
      <c r="J1" s="2">
        <v>10</v>
      </c>
      <c r="K1" s="2">
        <v>11</v>
      </c>
      <c r="L1" s="2">
        <v>12</v>
      </c>
      <c r="M1" s="2">
        <v>13</v>
      </c>
      <c r="N1" s="2">
        <v>14</v>
      </c>
      <c r="O1" s="2">
        <v>15</v>
      </c>
      <c r="P1" s="2">
        <v>16</v>
      </c>
      <c r="Q1" s="2">
        <v>17</v>
      </c>
      <c r="R1" s="2">
        <v>18</v>
      </c>
      <c r="S1" s="2">
        <v>19</v>
      </c>
      <c r="T1" s="2">
        <v>20</v>
      </c>
    </row>
    <row r="2" spans="1:20" x14ac:dyDescent="0.3">
      <c r="D2" s="4" t="s">
        <v>0</v>
      </c>
      <c r="E2" s="4" t="s">
        <v>3</v>
      </c>
      <c r="F2" s="4" t="s">
        <v>2</v>
      </c>
      <c r="G2" s="5" t="s">
        <v>13</v>
      </c>
      <c r="H2" s="4" t="s">
        <v>4</v>
      </c>
      <c r="I2" s="4" t="s">
        <v>5</v>
      </c>
      <c r="J2" s="4" t="s">
        <v>6</v>
      </c>
      <c r="K2" s="4" t="s">
        <v>7</v>
      </c>
      <c r="L2" s="4" t="s">
        <v>9</v>
      </c>
      <c r="M2" s="5" t="s">
        <v>10</v>
      </c>
      <c r="N2" s="4" t="s">
        <v>8</v>
      </c>
      <c r="O2" s="4" t="s">
        <v>11</v>
      </c>
      <c r="P2" s="5" t="s">
        <v>12</v>
      </c>
      <c r="Q2" s="5" t="s">
        <v>14</v>
      </c>
      <c r="R2" s="4" t="s">
        <v>1</v>
      </c>
    </row>
    <row r="3" spans="1:20" ht="15.6" x14ac:dyDescent="0.35">
      <c r="G3" s="5"/>
      <c r="H3" s="4" t="s">
        <v>15</v>
      </c>
      <c r="I3" s="4" t="s">
        <v>16</v>
      </c>
      <c r="J3" s="6" t="s">
        <v>17</v>
      </c>
      <c r="L3" s="6" t="s">
        <v>19</v>
      </c>
      <c r="M3" s="5" t="s">
        <v>20</v>
      </c>
      <c r="N3" s="6" t="s">
        <v>18</v>
      </c>
      <c r="R3" s="4"/>
    </row>
    <row r="4" spans="1:20" ht="16.2" x14ac:dyDescent="0.3">
      <c r="D4" s="4" t="s">
        <v>21</v>
      </c>
      <c r="E4" s="4" t="s">
        <v>23</v>
      </c>
      <c r="F4" s="4" t="s">
        <v>22</v>
      </c>
      <c r="G4" s="5" t="s">
        <v>24</v>
      </c>
      <c r="H4" s="4" t="s">
        <v>24</v>
      </c>
      <c r="I4" s="4" t="s">
        <v>24</v>
      </c>
      <c r="J4" s="4" t="s">
        <v>24</v>
      </c>
      <c r="K4" s="4" t="s">
        <v>25</v>
      </c>
      <c r="L4" s="4" t="s">
        <v>27</v>
      </c>
      <c r="M4" s="5" t="s">
        <v>28</v>
      </c>
      <c r="N4" s="4" t="s">
        <v>26</v>
      </c>
      <c r="O4" s="4" t="s">
        <v>29</v>
      </c>
      <c r="P4" s="5" t="s">
        <v>24</v>
      </c>
      <c r="Q4" s="5" t="s">
        <v>30</v>
      </c>
      <c r="R4" s="4"/>
    </row>
    <row r="5" spans="1:20" x14ac:dyDescent="0.3">
      <c r="A5" s="7" t="s">
        <v>31</v>
      </c>
      <c r="B5" s="8">
        <v>1</v>
      </c>
      <c r="C5" s="42" t="str">
        <f t="shared" ref="C5:C36" si="0">CONCATENATE(D5," ",R5)</f>
        <v>910 AL Solros</v>
      </c>
      <c r="D5" s="7">
        <v>910</v>
      </c>
      <c r="E5" s="7">
        <v>39.200000000000003</v>
      </c>
      <c r="F5" s="7">
        <v>24.8</v>
      </c>
      <c r="G5" s="11">
        <f t="shared" ref="G5:G36" si="1">P5*0.55</f>
        <v>88.241758241758248</v>
      </c>
      <c r="H5" s="7">
        <v>40000</v>
      </c>
      <c r="I5" s="7">
        <v>56000</v>
      </c>
      <c r="J5" s="7">
        <v>60</v>
      </c>
      <c r="K5" s="7">
        <v>280</v>
      </c>
      <c r="L5" s="7">
        <v>0.8</v>
      </c>
      <c r="M5" s="9">
        <f t="shared" ref="M5:M36" si="2">1000*L5/N5</f>
        <v>34.782608695652172</v>
      </c>
      <c r="N5" s="7">
        <v>23</v>
      </c>
      <c r="O5" s="10">
        <v>146</v>
      </c>
      <c r="P5" s="11">
        <f t="shared" ref="P5:P68" si="3">1000*O5/D5</f>
        <v>160.43956043956044</v>
      </c>
      <c r="Q5" s="9">
        <f t="shared" ref="Q5:Q20" si="4">1000*F5/9.81</f>
        <v>2528.032619775739</v>
      </c>
      <c r="R5" s="7" t="s">
        <v>32</v>
      </c>
      <c r="S5" s="12"/>
    </row>
    <row r="6" spans="1:20" x14ac:dyDescent="0.3">
      <c r="B6" s="2">
        <v>2</v>
      </c>
      <c r="C6" s="43" t="str">
        <f t="shared" si="0"/>
        <v>774 AL Stormhatt</v>
      </c>
      <c r="D6" s="4">
        <v>774</v>
      </c>
      <c r="E6" s="4">
        <v>36.200000000000003</v>
      </c>
      <c r="F6" s="4">
        <v>21.1</v>
      </c>
      <c r="G6" s="15">
        <f t="shared" si="1"/>
        <v>88.113695090439293</v>
      </c>
      <c r="H6" s="4">
        <v>40000</v>
      </c>
      <c r="I6" s="4">
        <v>56000</v>
      </c>
      <c r="J6" s="4">
        <v>60</v>
      </c>
      <c r="K6" s="4">
        <v>280</v>
      </c>
      <c r="L6" s="4">
        <v>0.8</v>
      </c>
      <c r="M6" s="13">
        <f t="shared" si="2"/>
        <v>34.782608695652172</v>
      </c>
      <c r="N6" s="4">
        <v>23</v>
      </c>
      <c r="O6" s="14">
        <v>124</v>
      </c>
      <c r="P6" s="15">
        <f t="shared" si="3"/>
        <v>160.20671834625324</v>
      </c>
      <c r="Q6" s="13">
        <f t="shared" si="4"/>
        <v>2150.866462793068</v>
      </c>
      <c r="R6" s="4" t="s">
        <v>33</v>
      </c>
    </row>
    <row r="7" spans="1:20" x14ac:dyDescent="0.3">
      <c r="B7" s="2">
        <v>3</v>
      </c>
      <c r="C7" s="43" t="str">
        <f t="shared" si="0"/>
        <v>593 AL Hampdån</v>
      </c>
      <c r="D7" s="4">
        <v>593</v>
      </c>
      <c r="E7" s="4">
        <v>31.7</v>
      </c>
      <c r="F7" s="4">
        <v>16.2</v>
      </c>
      <c r="G7" s="15">
        <f t="shared" si="1"/>
        <v>88.111298482293435</v>
      </c>
      <c r="H7" s="4">
        <v>40000</v>
      </c>
      <c r="I7" s="4">
        <v>56000</v>
      </c>
      <c r="J7" s="4">
        <v>60</v>
      </c>
      <c r="K7" s="4">
        <v>280</v>
      </c>
      <c r="L7" s="4">
        <v>0.8</v>
      </c>
      <c r="M7" s="13">
        <f t="shared" si="2"/>
        <v>34.782608695652172</v>
      </c>
      <c r="N7" s="4">
        <v>23</v>
      </c>
      <c r="O7" s="14">
        <v>95</v>
      </c>
      <c r="P7" s="15">
        <f t="shared" si="3"/>
        <v>160.20236087689713</v>
      </c>
      <c r="Q7" s="13">
        <f t="shared" si="4"/>
        <v>1651.3761467889908</v>
      </c>
      <c r="R7" s="4" t="s">
        <v>34</v>
      </c>
    </row>
    <row r="8" spans="1:20" x14ac:dyDescent="0.3">
      <c r="B8" s="2">
        <v>4</v>
      </c>
      <c r="C8" s="43" t="str">
        <f t="shared" si="0"/>
        <v>454 AL Akleja</v>
      </c>
      <c r="D8" s="4">
        <v>454</v>
      </c>
      <c r="E8" s="4">
        <v>27.7</v>
      </c>
      <c r="F8" s="4">
        <v>12.4</v>
      </c>
      <c r="G8" s="15">
        <f t="shared" si="1"/>
        <v>90.859030837004411</v>
      </c>
      <c r="H8" s="4">
        <v>40000</v>
      </c>
      <c r="I8" s="4">
        <v>56000</v>
      </c>
      <c r="J8" s="4">
        <v>60</v>
      </c>
      <c r="K8" s="4">
        <v>280</v>
      </c>
      <c r="L8" s="4">
        <v>0.8</v>
      </c>
      <c r="M8" s="13">
        <f t="shared" si="2"/>
        <v>34.782608695652172</v>
      </c>
      <c r="N8" s="4">
        <v>23</v>
      </c>
      <c r="O8" s="14">
        <v>75</v>
      </c>
      <c r="P8" s="15">
        <f t="shared" si="3"/>
        <v>165.19823788546256</v>
      </c>
      <c r="Q8" s="16">
        <f t="shared" si="4"/>
        <v>1264.0163098878695</v>
      </c>
      <c r="R8" s="4" t="s">
        <v>35</v>
      </c>
      <c r="S8" s="17"/>
    </row>
    <row r="9" spans="1:20" x14ac:dyDescent="0.3">
      <c r="B9" s="2">
        <v>5</v>
      </c>
      <c r="C9" s="43" t="str">
        <f t="shared" si="0"/>
        <v>329 AL Renfana</v>
      </c>
      <c r="D9" s="4">
        <v>329</v>
      </c>
      <c r="E9" s="4">
        <v>23.6</v>
      </c>
      <c r="F9" s="4">
        <v>8.9600000000000009</v>
      </c>
      <c r="G9" s="15">
        <f t="shared" si="1"/>
        <v>91.109422492401222</v>
      </c>
      <c r="H9" s="4">
        <v>43000</v>
      </c>
      <c r="I9" s="4">
        <v>58000</v>
      </c>
      <c r="J9" s="4">
        <v>60</v>
      </c>
      <c r="K9" s="4">
        <v>280</v>
      </c>
      <c r="L9" s="4">
        <v>0.8</v>
      </c>
      <c r="M9" s="13">
        <f t="shared" si="2"/>
        <v>34.782608695652172</v>
      </c>
      <c r="N9" s="4">
        <v>23</v>
      </c>
      <c r="O9" s="14">
        <v>54.5</v>
      </c>
      <c r="P9" s="15">
        <f t="shared" si="3"/>
        <v>165.65349544072947</v>
      </c>
      <c r="Q9" s="16">
        <f t="shared" si="4"/>
        <v>913.3537206931702</v>
      </c>
      <c r="R9" s="4" t="s">
        <v>36</v>
      </c>
      <c r="S9" s="17"/>
    </row>
    <row r="10" spans="1:20" x14ac:dyDescent="0.3">
      <c r="B10" s="2">
        <v>6</v>
      </c>
      <c r="C10" s="43" t="str">
        <f t="shared" si="0"/>
        <v>234 AL Vallmo</v>
      </c>
      <c r="D10" s="4">
        <v>234</v>
      </c>
      <c r="E10" s="4">
        <v>20.100000000000001</v>
      </c>
      <c r="F10" s="4">
        <v>6.52</v>
      </c>
      <c r="G10" s="15">
        <f t="shared" si="1"/>
        <v>90.726495726495727</v>
      </c>
      <c r="H10" s="4">
        <v>45000</v>
      </c>
      <c r="I10" s="4">
        <v>60000</v>
      </c>
      <c r="J10" s="4">
        <v>60</v>
      </c>
      <c r="K10" s="4">
        <v>280</v>
      </c>
      <c r="L10" s="4">
        <v>0.8</v>
      </c>
      <c r="M10" s="13">
        <f t="shared" si="2"/>
        <v>34.782608695652172</v>
      </c>
      <c r="N10" s="4">
        <v>23</v>
      </c>
      <c r="O10" s="14">
        <v>38.6</v>
      </c>
      <c r="P10" s="15">
        <f t="shared" si="3"/>
        <v>164.95726495726495</v>
      </c>
      <c r="Q10" s="16">
        <f t="shared" si="4"/>
        <v>664.62793068297651</v>
      </c>
      <c r="R10" s="4" t="s">
        <v>37</v>
      </c>
      <c r="S10" s="17"/>
    </row>
    <row r="11" spans="1:20" x14ac:dyDescent="0.3">
      <c r="B11" s="2">
        <v>7</v>
      </c>
      <c r="C11" s="43" t="str">
        <f t="shared" si="0"/>
        <v>157 AL Gullviva</v>
      </c>
      <c r="D11" s="4">
        <v>157</v>
      </c>
      <c r="E11" s="4">
        <v>16.3</v>
      </c>
      <c r="F11" s="4">
        <v>4.3</v>
      </c>
      <c r="G11" s="15">
        <f t="shared" si="1"/>
        <v>91.783439490445872</v>
      </c>
      <c r="H11" s="4">
        <v>45000</v>
      </c>
      <c r="I11" s="4">
        <v>60000</v>
      </c>
      <c r="J11" s="4">
        <v>60</v>
      </c>
      <c r="K11" s="4">
        <v>280</v>
      </c>
      <c r="L11" s="4">
        <v>0.8</v>
      </c>
      <c r="M11" s="13">
        <f t="shared" si="2"/>
        <v>34.782608695652172</v>
      </c>
      <c r="N11" s="4">
        <v>23</v>
      </c>
      <c r="O11" s="14">
        <v>26.2</v>
      </c>
      <c r="P11" s="15">
        <f t="shared" si="3"/>
        <v>166.87898089171975</v>
      </c>
      <c r="Q11" s="16">
        <f t="shared" si="4"/>
        <v>438.32823649337411</v>
      </c>
      <c r="R11" s="4" t="s">
        <v>38</v>
      </c>
      <c r="S11" s="17"/>
    </row>
    <row r="12" spans="1:20" x14ac:dyDescent="0.3">
      <c r="B12" s="2">
        <v>8</v>
      </c>
      <c r="C12" s="43" t="str">
        <f t="shared" si="0"/>
        <v>99 AL Kattfot</v>
      </c>
      <c r="D12" s="4">
        <v>99</v>
      </c>
      <c r="E12" s="4">
        <v>12.8</v>
      </c>
      <c r="F12" s="4">
        <v>2.66</v>
      </c>
      <c r="G12" s="15">
        <f t="shared" si="1"/>
        <v>88.333333333333329</v>
      </c>
      <c r="H12" s="4">
        <v>47000</v>
      </c>
      <c r="I12" s="4">
        <v>61000</v>
      </c>
      <c r="J12" s="4">
        <v>60</v>
      </c>
      <c r="K12" s="4">
        <v>280</v>
      </c>
      <c r="L12" s="4">
        <v>0.8</v>
      </c>
      <c r="M12" s="13">
        <f t="shared" si="2"/>
        <v>34.782608695652172</v>
      </c>
      <c r="N12" s="4">
        <v>23</v>
      </c>
      <c r="O12" s="14">
        <v>15.9</v>
      </c>
      <c r="P12" s="15">
        <f t="shared" si="3"/>
        <v>160.60606060606059</v>
      </c>
      <c r="Q12" s="16">
        <f t="shared" si="4"/>
        <v>271.15188583078492</v>
      </c>
      <c r="R12" s="4" t="s">
        <v>39</v>
      </c>
      <c r="S12" s="17"/>
    </row>
    <row r="13" spans="1:20" x14ac:dyDescent="0.3">
      <c r="B13" s="2">
        <v>9</v>
      </c>
      <c r="C13" s="43" t="str">
        <f t="shared" si="0"/>
        <v>62 AL</v>
      </c>
      <c r="D13" s="4">
        <v>62</v>
      </c>
      <c r="E13" s="4">
        <v>10.1</v>
      </c>
      <c r="F13" s="4">
        <v>1.68</v>
      </c>
      <c r="G13" s="15">
        <f t="shared" si="1"/>
        <v>94.919354838709694</v>
      </c>
      <c r="H13" s="4">
        <v>47000</v>
      </c>
      <c r="I13" s="4">
        <v>61000</v>
      </c>
      <c r="J13" s="4">
        <v>60</v>
      </c>
      <c r="K13" s="4">
        <v>280</v>
      </c>
      <c r="L13" s="4">
        <v>0.8</v>
      </c>
      <c r="M13" s="13">
        <f t="shared" si="2"/>
        <v>34.782608695652172</v>
      </c>
      <c r="N13" s="4">
        <v>23</v>
      </c>
      <c r="O13" s="18">
        <v>10.7</v>
      </c>
      <c r="P13" s="15">
        <f t="shared" si="3"/>
        <v>172.58064516129033</v>
      </c>
      <c r="Q13" s="16">
        <f t="shared" si="4"/>
        <v>171.25382262996942</v>
      </c>
      <c r="R13" s="4" t="s">
        <v>31</v>
      </c>
      <c r="S13" s="17"/>
    </row>
    <row r="14" spans="1:20" x14ac:dyDescent="0.3">
      <c r="B14" s="2">
        <v>10</v>
      </c>
      <c r="C14" s="43" t="str">
        <f t="shared" si="0"/>
        <v>49 AL</v>
      </c>
      <c r="D14" s="4">
        <v>49</v>
      </c>
      <c r="E14" s="4">
        <v>9</v>
      </c>
      <c r="F14" s="4">
        <v>1.32</v>
      </c>
      <c r="G14" s="15">
        <f t="shared" si="1"/>
        <v>98.214285714285722</v>
      </c>
      <c r="H14" s="4">
        <v>47000</v>
      </c>
      <c r="I14" s="4">
        <v>61000</v>
      </c>
      <c r="J14" s="4">
        <v>60</v>
      </c>
      <c r="K14" s="4">
        <v>280</v>
      </c>
      <c r="L14" s="4">
        <v>0.8</v>
      </c>
      <c r="M14" s="13">
        <f t="shared" si="2"/>
        <v>34.782608695652172</v>
      </c>
      <c r="N14" s="4">
        <v>23</v>
      </c>
      <c r="O14" s="18">
        <v>8.75</v>
      </c>
      <c r="P14" s="15">
        <f t="shared" si="3"/>
        <v>178.57142857142858</v>
      </c>
      <c r="Q14" s="16">
        <f t="shared" si="4"/>
        <v>134.5565749235474</v>
      </c>
      <c r="R14" s="4" t="s">
        <v>31</v>
      </c>
      <c r="S14" s="17"/>
    </row>
    <row r="15" spans="1:20" x14ac:dyDescent="0.3">
      <c r="B15" s="2">
        <v>11</v>
      </c>
      <c r="C15" s="43" t="str">
        <f t="shared" si="0"/>
        <v>31 AL</v>
      </c>
      <c r="D15" s="4">
        <v>31</v>
      </c>
      <c r="E15" s="4">
        <v>7.1</v>
      </c>
      <c r="F15" s="4">
        <v>0.83</v>
      </c>
      <c r="G15" s="15">
        <f t="shared" si="1"/>
        <v>102.72580645161291</v>
      </c>
      <c r="H15" s="4">
        <v>47000</v>
      </c>
      <c r="I15" s="4">
        <v>61000</v>
      </c>
      <c r="J15" s="4">
        <v>60</v>
      </c>
      <c r="K15" s="4">
        <v>280</v>
      </c>
      <c r="L15" s="4">
        <v>0.8</v>
      </c>
      <c r="M15" s="13">
        <f t="shared" si="2"/>
        <v>34.782608695652172</v>
      </c>
      <c r="N15" s="4">
        <v>23</v>
      </c>
      <c r="O15" s="18">
        <v>5.79</v>
      </c>
      <c r="P15" s="15">
        <f t="shared" si="3"/>
        <v>186.7741935483871</v>
      </c>
      <c r="Q15" s="16">
        <f t="shared" si="4"/>
        <v>84.607543323139652</v>
      </c>
      <c r="R15" s="4" t="s">
        <v>31</v>
      </c>
      <c r="S15" s="17"/>
    </row>
    <row r="16" spans="1:20" x14ac:dyDescent="0.3">
      <c r="A16" s="7" t="s">
        <v>40</v>
      </c>
      <c r="B16" s="8">
        <v>12</v>
      </c>
      <c r="C16" s="42" t="str">
        <f t="shared" si="0"/>
        <v>910 AL59</v>
      </c>
      <c r="D16" s="7">
        <v>910</v>
      </c>
      <c r="E16" s="7">
        <v>39.200000000000003</v>
      </c>
      <c r="F16" s="7">
        <v>24.8</v>
      </c>
      <c r="G16" s="11">
        <f t="shared" si="1"/>
        <v>126.31868131868133</v>
      </c>
      <c r="H16" s="7">
        <v>53000</v>
      </c>
      <c r="I16" s="7">
        <v>60000</v>
      </c>
      <c r="J16" s="7">
        <v>100</v>
      </c>
      <c r="K16" s="7">
        <v>140</v>
      </c>
      <c r="L16" s="7">
        <v>0.4</v>
      </c>
      <c r="M16" s="9">
        <f t="shared" si="2"/>
        <v>17.391304347826086</v>
      </c>
      <c r="N16" s="7">
        <v>23</v>
      </c>
      <c r="O16" s="10">
        <v>209</v>
      </c>
      <c r="P16" s="11">
        <f t="shared" si="3"/>
        <v>229.67032967032966</v>
      </c>
      <c r="Q16" s="9">
        <f t="shared" si="4"/>
        <v>2528.032619775739</v>
      </c>
      <c r="R16" s="7" t="s">
        <v>40</v>
      </c>
      <c r="S16" s="12"/>
    </row>
    <row r="17" spans="1:19" x14ac:dyDescent="0.3">
      <c r="B17" s="2">
        <v>13</v>
      </c>
      <c r="C17" s="43" t="str">
        <f t="shared" si="0"/>
        <v>774 AL59</v>
      </c>
      <c r="D17" s="4">
        <v>774</v>
      </c>
      <c r="E17" s="4">
        <v>36.200000000000003</v>
      </c>
      <c r="F17" s="4">
        <v>21.1</v>
      </c>
      <c r="G17" s="15">
        <f t="shared" si="1"/>
        <v>126.48578811369511</v>
      </c>
      <c r="H17" s="4">
        <v>53000</v>
      </c>
      <c r="I17" s="4">
        <v>60000</v>
      </c>
      <c r="J17" s="4">
        <v>100</v>
      </c>
      <c r="K17" s="4">
        <v>140</v>
      </c>
      <c r="L17" s="4">
        <v>0.4</v>
      </c>
      <c r="M17" s="13">
        <f t="shared" si="2"/>
        <v>17.391304347826086</v>
      </c>
      <c r="N17" s="4">
        <v>23</v>
      </c>
      <c r="O17" s="14">
        <v>178</v>
      </c>
      <c r="P17" s="15">
        <f t="shared" si="3"/>
        <v>229.97416020671835</v>
      </c>
      <c r="Q17" s="16">
        <f t="shared" si="4"/>
        <v>2150.866462793068</v>
      </c>
      <c r="R17" s="4" t="s">
        <v>40</v>
      </c>
      <c r="S17" s="17"/>
    </row>
    <row r="18" spans="1:19" x14ac:dyDescent="0.3">
      <c r="B18" s="2">
        <v>14</v>
      </c>
      <c r="C18" s="43" t="str">
        <f t="shared" si="0"/>
        <v>593 AL59</v>
      </c>
      <c r="D18" s="4">
        <v>593</v>
      </c>
      <c r="E18" s="4">
        <v>31.7</v>
      </c>
      <c r="F18" s="4">
        <v>16.2</v>
      </c>
      <c r="G18" s="15">
        <f t="shared" si="1"/>
        <v>132.63069139966274</v>
      </c>
      <c r="H18" s="4">
        <v>53000</v>
      </c>
      <c r="I18" s="4">
        <v>60000</v>
      </c>
      <c r="J18" s="4">
        <v>100</v>
      </c>
      <c r="K18" s="4">
        <v>140</v>
      </c>
      <c r="L18" s="4">
        <v>0.4</v>
      </c>
      <c r="M18" s="13">
        <f t="shared" si="2"/>
        <v>17.391304347826086</v>
      </c>
      <c r="N18" s="4">
        <v>23</v>
      </c>
      <c r="O18" s="14">
        <v>143</v>
      </c>
      <c r="P18" s="15">
        <f t="shared" si="3"/>
        <v>241.14671163575042</v>
      </c>
      <c r="Q18" s="16">
        <f t="shared" si="4"/>
        <v>1651.3761467889908</v>
      </c>
      <c r="R18" s="4" t="s">
        <v>40</v>
      </c>
      <c r="S18" s="17"/>
    </row>
    <row r="19" spans="1:19" x14ac:dyDescent="0.3">
      <c r="B19" s="2">
        <v>15</v>
      </c>
      <c r="C19" s="43" t="str">
        <f t="shared" si="0"/>
        <v>454 AL59</v>
      </c>
      <c r="D19" s="4">
        <v>454</v>
      </c>
      <c r="E19" s="4">
        <v>27.7</v>
      </c>
      <c r="F19" s="4">
        <v>12.4</v>
      </c>
      <c r="G19" s="15">
        <f t="shared" si="1"/>
        <v>136.89427312775331</v>
      </c>
      <c r="H19" s="4">
        <v>53000</v>
      </c>
      <c r="I19" s="4">
        <v>60000</v>
      </c>
      <c r="J19" s="4">
        <v>100</v>
      </c>
      <c r="K19" s="4">
        <v>140</v>
      </c>
      <c r="L19" s="4">
        <v>0.4</v>
      </c>
      <c r="M19" s="13">
        <f t="shared" si="2"/>
        <v>17.391304347826086</v>
      </c>
      <c r="N19" s="4">
        <v>23</v>
      </c>
      <c r="O19" s="14">
        <v>113</v>
      </c>
      <c r="P19" s="15">
        <f t="shared" si="3"/>
        <v>248.89867841409691</v>
      </c>
      <c r="Q19" s="16">
        <f t="shared" si="4"/>
        <v>1264.0163098878695</v>
      </c>
      <c r="R19" s="4" t="s">
        <v>40</v>
      </c>
      <c r="S19" s="17"/>
    </row>
    <row r="20" spans="1:19" x14ac:dyDescent="0.3">
      <c r="B20" s="2">
        <v>16</v>
      </c>
      <c r="C20" s="43" t="str">
        <f t="shared" si="0"/>
        <v>329 AL59</v>
      </c>
      <c r="D20" s="4">
        <v>329</v>
      </c>
      <c r="E20" s="4">
        <v>23.6</v>
      </c>
      <c r="F20" s="4">
        <v>8.9600000000000009</v>
      </c>
      <c r="G20" s="15">
        <f t="shared" si="1"/>
        <v>137.91793313069911</v>
      </c>
      <c r="H20" s="4">
        <v>57000</v>
      </c>
      <c r="I20" s="4">
        <v>62000</v>
      </c>
      <c r="J20" s="4">
        <v>100</v>
      </c>
      <c r="K20" s="4">
        <v>140</v>
      </c>
      <c r="L20" s="4">
        <v>0.4</v>
      </c>
      <c r="M20" s="13">
        <f t="shared" si="2"/>
        <v>17.391304347826086</v>
      </c>
      <c r="N20" s="4">
        <v>23</v>
      </c>
      <c r="O20" s="14">
        <v>82.5</v>
      </c>
      <c r="P20" s="15">
        <f t="shared" si="3"/>
        <v>250.75987841945289</v>
      </c>
      <c r="Q20" s="16">
        <f t="shared" si="4"/>
        <v>913.3537206931702</v>
      </c>
      <c r="R20" s="4" t="s">
        <v>40</v>
      </c>
      <c r="S20" s="17"/>
    </row>
    <row r="21" spans="1:19" x14ac:dyDescent="0.3">
      <c r="B21" s="2">
        <v>17</v>
      </c>
      <c r="C21" s="43" t="str">
        <f t="shared" si="0"/>
        <v>241 AL59</v>
      </c>
      <c r="D21" s="19">
        <v>241</v>
      </c>
      <c r="E21" s="19">
        <v>20.100000000000001</v>
      </c>
      <c r="F21" s="20">
        <f>Q21*9.81/1000</f>
        <v>6.5040300000000011</v>
      </c>
      <c r="G21" s="23">
        <f t="shared" si="1"/>
        <v>126.65975103734441</v>
      </c>
      <c r="H21" s="19">
        <v>61000</v>
      </c>
      <c r="I21" s="19">
        <v>64000</v>
      </c>
      <c r="J21" s="19">
        <v>100</v>
      </c>
      <c r="K21" s="19">
        <v>140</v>
      </c>
      <c r="L21" s="19">
        <v>0.4</v>
      </c>
      <c r="M21" s="21">
        <f t="shared" si="2"/>
        <v>17.391304347826086</v>
      </c>
      <c r="N21" s="19">
        <v>23</v>
      </c>
      <c r="O21" s="22">
        <v>55.5</v>
      </c>
      <c r="P21" s="23">
        <f t="shared" si="3"/>
        <v>230.29045643153526</v>
      </c>
      <c r="Q21" s="24">
        <v>663</v>
      </c>
      <c r="R21" s="19" t="s">
        <v>40</v>
      </c>
      <c r="S21" s="17"/>
    </row>
    <row r="22" spans="1:19" x14ac:dyDescent="0.3">
      <c r="B22" s="2">
        <v>18</v>
      </c>
      <c r="C22" s="43" t="str">
        <f t="shared" si="0"/>
        <v>234 AL59</v>
      </c>
      <c r="D22" s="4">
        <v>234</v>
      </c>
      <c r="E22" s="4">
        <v>20.100000000000001</v>
      </c>
      <c r="F22" s="4">
        <v>6.52</v>
      </c>
      <c r="G22" s="15">
        <f t="shared" si="1"/>
        <v>130.44871794871796</v>
      </c>
      <c r="H22" s="4">
        <v>61000</v>
      </c>
      <c r="I22" s="4">
        <v>64000</v>
      </c>
      <c r="J22" s="4">
        <v>100</v>
      </c>
      <c r="K22" s="4">
        <v>140</v>
      </c>
      <c r="L22" s="4">
        <v>0.4</v>
      </c>
      <c r="M22" s="13">
        <f t="shared" si="2"/>
        <v>17.391304347826086</v>
      </c>
      <c r="N22" s="4">
        <v>23</v>
      </c>
      <c r="O22" s="14">
        <v>55.5</v>
      </c>
      <c r="P22" s="15">
        <f t="shared" si="3"/>
        <v>237.17948717948718</v>
      </c>
      <c r="Q22" s="16">
        <f t="shared" ref="Q22:Q76" si="5">1000*F22/9.81</f>
        <v>664.62793068297651</v>
      </c>
      <c r="R22" s="4" t="s">
        <v>40</v>
      </c>
      <c r="S22" s="17"/>
    </row>
    <row r="23" spans="1:19" x14ac:dyDescent="0.3">
      <c r="B23" s="2">
        <v>19</v>
      </c>
      <c r="C23" s="43" t="str">
        <f t="shared" si="0"/>
        <v>157 AL59</v>
      </c>
      <c r="D23" s="4">
        <v>157</v>
      </c>
      <c r="E23" s="4">
        <v>16.3</v>
      </c>
      <c r="F23" s="4">
        <v>4.3</v>
      </c>
      <c r="G23" s="15">
        <f t="shared" si="1"/>
        <v>139.07643312101914</v>
      </c>
      <c r="H23" s="4">
        <v>61000</v>
      </c>
      <c r="I23" s="4">
        <v>64000</v>
      </c>
      <c r="J23" s="4">
        <v>100</v>
      </c>
      <c r="K23" s="4">
        <v>140</v>
      </c>
      <c r="L23" s="4">
        <v>0.4</v>
      </c>
      <c r="M23" s="13">
        <f t="shared" si="2"/>
        <v>17.391304347826086</v>
      </c>
      <c r="N23" s="4">
        <v>23</v>
      </c>
      <c r="O23" s="14">
        <v>39.700000000000003</v>
      </c>
      <c r="P23" s="15">
        <f t="shared" si="3"/>
        <v>252.86624203821657</v>
      </c>
      <c r="Q23" s="16">
        <f t="shared" si="5"/>
        <v>438.32823649337411</v>
      </c>
      <c r="R23" s="4" t="s">
        <v>40</v>
      </c>
      <c r="S23" s="17"/>
    </row>
    <row r="24" spans="1:19" x14ac:dyDescent="0.3">
      <c r="B24" s="2">
        <v>20</v>
      </c>
      <c r="C24" s="43" t="str">
        <f t="shared" si="0"/>
        <v>99 AL59</v>
      </c>
      <c r="D24" s="4">
        <v>99</v>
      </c>
      <c r="E24" s="4">
        <v>12.8</v>
      </c>
      <c r="F24" s="4">
        <v>2.66</v>
      </c>
      <c r="G24" s="15">
        <f t="shared" si="1"/>
        <v>126.66666666666669</v>
      </c>
      <c r="H24" s="4">
        <v>65000</v>
      </c>
      <c r="I24" s="4">
        <v>67000</v>
      </c>
      <c r="J24" s="4">
        <v>100</v>
      </c>
      <c r="K24" s="4">
        <v>140</v>
      </c>
      <c r="L24" s="4">
        <v>0.4</v>
      </c>
      <c r="M24" s="13">
        <f t="shared" si="2"/>
        <v>17.391304347826086</v>
      </c>
      <c r="N24" s="4">
        <v>23</v>
      </c>
      <c r="O24" s="14">
        <v>22.8</v>
      </c>
      <c r="P24" s="15">
        <f t="shared" si="3"/>
        <v>230.30303030303031</v>
      </c>
      <c r="Q24" s="16">
        <f t="shared" si="5"/>
        <v>271.15188583078492</v>
      </c>
      <c r="R24" s="4" t="s">
        <v>40</v>
      </c>
      <c r="S24" s="17"/>
    </row>
    <row r="25" spans="1:19" x14ac:dyDescent="0.3">
      <c r="B25" s="2">
        <v>21</v>
      </c>
      <c r="C25" s="43" t="str">
        <f t="shared" si="0"/>
        <v>62 AL59</v>
      </c>
      <c r="D25" s="4">
        <v>62</v>
      </c>
      <c r="E25" s="4">
        <v>10.1</v>
      </c>
      <c r="F25" s="4">
        <v>1.68</v>
      </c>
      <c r="G25" s="15">
        <f t="shared" si="1"/>
        <v>138.38709677419357</v>
      </c>
      <c r="H25" s="4">
        <v>65000</v>
      </c>
      <c r="I25" s="4">
        <v>67000</v>
      </c>
      <c r="J25" s="4">
        <v>100</v>
      </c>
      <c r="K25" s="4">
        <v>140</v>
      </c>
      <c r="L25" s="4">
        <v>0.4</v>
      </c>
      <c r="M25" s="13">
        <f t="shared" si="2"/>
        <v>17.391304347826086</v>
      </c>
      <c r="N25" s="4">
        <v>23</v>
      </c>
      <c r="O25" s="14">
        <v>15.6</v>
      </c>
      <c r="P25" s="15">
        <f t="shared" si="3"/>
        <v>251.61290322580646</v>
      </c>
      <c r="Q25" s="16">
        <f t="shared" si="5"/>
        <v>171.25382262996942</v>
      </c>
      <c r="R25" s="4" t="s">
        <v>40</v>
      </c>
      <c r="S25" s="17"/>
    </row>
    <row r="26" spans="1:19" x14ac:dyDescent="0.3">
      <c r="B26" s="2">
        <v>22</v>
      </c>
      <c r="C26" s="43" t="str">
        <f t="shared" si="0"/>
        <v>49 AL59</v>
      </c>
      <c r="D26" s="4">
        <v>49</v>
      </c>
      <c r="E26" s="4">
        <v>9</v>
      </c>
      <c r="F26" s="4">
        <v>1.32</v>
      </c>
      <c r="G26" s="15">
        <f t="shared" si="1"/>
        <v>139.18367346938777</v>
      </c>
      <c r="H26" s="4">
        <v>65000</v>
      </c>
      <c r="I26" s="4">
        <v>67000</v>
      </c>
      <c r="J26" s="4">
        <v>100</v>
      </c>
      <c r="K26" s="4">
        <v>140</v>
      </c>
      <c r="L26" s="4">
        <v>0.4</v>
      </c>
      <c r="M26" s="13">
        <f t="shared" si="2"/>
        <v>17.391304347826086</v>
      </c>
      <c r="N26" s="4">
        <v>23</v>
      </c>
      <c r="O26" s="14">
        <v>12.4</v>
      </c>
      <c r="P26" s="15">
        <f t="shared" si="3"/>
        <v>253.0612244897959</v>
      </c>
      <c r="Q26" s="16">
        <f t="shared" si="5"/>
        <v>134.5565749235474</v>
      </c>
      <c r="R26" s="4" t="s">
        <v>40</v>
      </c>
      <c r="S26" s="17"/>
    </row>
    <row r="27" spans="1:19" x14ac:dyDescent="0.3">
      <c r="B27" s="2">
        <v>23</v>
      </c>
      <c r="C27" s="43" t="str">
        <f t="shared" si="0"/>
        <v>31 AL59</v>
      </c>
      <c r="D27" s="4">
        <v>31</v>
      </c>
      <c r="E27" s="4">
        <v>7.1</v>
      </c>
      <c r="F27" s="4">
        <v>0.83</v>
      </c>
      <c r="G27" s="15">
        <f t="shared" si="1"/>
        <v>137.85483870967744</v>
      </c>
      <c r="H27" s="4">
        <v>65000</v>
      </c>
      <c r="I27" s="4">
        <v>67000</v>
      </c>
      <c r="J27" s="4">
        <v>100</v>
      </c>
      <c r="K27" s="4">
        <v>140</v>
      </c>
      <c r="L27" s="4">
        <v>0.4</v>
      </c>
      <c r="M27" s="13">
        <f t="shared" si="2"/>
        <v>17.391304347826086</v>
      </c>
      <c r="N27" s="4">
        <v>23</v>
      </c>
      <c r="O27" s="14">
        <v>7.77</v>
      </c>
      <c r="P27" s="15">
        <f t="shared" si="3"/>
        <v>250.64516129032259</v>
      </c>
      <c r="Q27" s="16">
        <f t="shared" si="5"/>
        <v>84.607543323139652</v>
      </c>
      <c r="R27" s="4" t="s">
        <v>40</v>
      </c>
      <c r="S27" s="17"/>
    </row>
    <row r="28" spans="1:19" x14ac:dyDescent="0.3">
      <c r="A28" s="7" t="s">
        <v>41</v>
      </c>
      <c r="B28" s="8">
        <v>24</v>
      </c>
      <c r="C28" s="42" t="str">
        <f t="shared" si="0"/>
        <v>910 AlMgSi</v>
      </c>
      <c r="D28" s="7">
        <v>910</v>
      </c>
      <c r="E28" s="7">
        <v>39.200000000000003</v>
      </c>
      <c r="F28" s="7">
        <v>24.8</v>
      </c>
      <c r="G28" s="11">
        <f t="shared" si="1"/>
        <v>140.21978021978023</v>
      </c>
      <c r="H28" s="7">
        <v>53000</v>
      </c>
      <c r="I28" s="7">
        <v>60000</v>
      </c>
      <c r="J28" s="7">
        <v>100</v>
      </c>
      <c r="K28" s="7">
        <v>140</v>
      </c>
      <c r="L28" s="7">
        <v>0.4</v>
      </c>
      <c r="M28" s="9">
        <f t="shared" si="2"/>
        <v>17.391304347826086</v>
      </c>
      <c r="N28" s="7">
        <v>23</v>
      </c>
      <c r="O28" s="7">
        <v>232</v>
      </c>
      <c r="P28" s="11">
        <f t="shared" si="3"/>
        <v>254.94505494505495</v>
      </c>
      <c r="Q28" s="9">
        <f t="shared" si="5"/>
        <v>2528.032619775739</v>
      </c>
      <c r="R28" s="7" t="s">
        <v>41</v>
      </c>
      <c r="S28" s="12"/>
    </row>
    <row r="29" spans="1:19" x14ac:dyDescent="0.3">
      <c r="B29" s="2">
        <v>25</v>
      </c>
      <c r="C29" s="43" t="str">
        <f t="shared" si="0"/>
        <v>774 AlMgSi</v>
      </c>
      <c r="D29" s="4">
        <v>774</v>
      </c>
      <c r="E29" s="4">
        <v>36.200000000000003</v>
      </c>
      <c r="F29" s="4">
        <v>21.1</v>
      </c>
      <c r="G29" s="15">
        <f t="shared" si="1"/>
        <v>139.98708010335918</v>
      </c>
      <c r="H29" s="4">
        <v>53000</v>
      </c>
      <c r="I29" s="4">
        <v>60000</v>
      </c>
      <c r="J29" s="4">
        <v>100</v>
      </c>
      <c r="K29" s="4">
        <v>140</v>
      </c>
      <c r="L29" s="4">
        <v>0.4</v>
      </c>
      <c r="M29" s="13">
        <f t="shared" si="2"/>
        <v>17.391304347826086</v>
      </c>
      <c r="N29" s="4">
        <v>23</v>
      </c>
      <c r="O29" s="4">
        <v>197</v>
      </c>
      <c r="P29" s="15">
        <f t="shared" si="3"/>
        <v>254.5219638242894</v>
      </c>
      <c r="Q29" s="16">
        <f t="shared" si="5"/>
        <v>2150.866462793068</v>
      </c>
      <c r="R29" s="4" t="s">
        <v>41</v>
      </c>
      <c r="S29" s="17"/>
    </row>
    <row r="30" spans="1:19" x14ac:dyDescent="0.3">
      <c r="B30" s="2">
        <v>26</v>
      </c>
      <c r="C30" s="43" t="str">
        <f t="shared" si="0"/>
        <v>593 AlMgSi</v>
      </c>
      <c r="D30" s="4">
        <v>593</v>
      </c>
      <c r="E30" s="4">
        <v>31.7</v>
      </c>
      <c r="F30" s="4">
        <v>16.2</v>
      </c>
      <c r="G30" s="15">
        <f t="shared" si="1"/>
        <v>145.61551433389545</v>
      </c>
      <c r="H30" s="4">
        <v>53000</v>
      </c>
      <c r="I30" s="4">
        <v>60000</v>
      </c>
      <c r="J30" s="4">
        <v>100</v>
      </c>
      <c r="K30" s="4">
        <v>140</v>
      </c>
      <c r="L30" s="4">
        <v>0.4</v>
      </c>
      <c r="M30" s="13">
        <f t="shared" si="2"/>
        <v>17.391304347826086</v>
      </c>
      <c r="N30" s="4">
        <v>23</v>
      </c>
      <c r="O30" s="4">
        <v>157</v>
      </c>
      <c r="P30" s="15">
        <f t="shared" si="3"/>
        <v>264.75548060708263</v>
      </c>
      <c r="Q30" s="16">
        <f t="shared" si="5"/>
        <v>1651.3761467889908</v>
      </c>
      <c r="R30" s="4" t="s">
        <v>41</v>
      </c>
      <c r="S30" s="17"/>
    </row>
    <row r="31" spans="1:19" x14ac:dyDescent="0.3">
      <c r="B31" s="2">
        <v>27</v>
      </c>
      <c r="C31" s="43" t="str">
        <f t="shared" si="0"/>
        <v>454 AlMgSi</v>
      </c>
      <c r="D31" s="4">
        <v>454</v>
      </c>
      <c r="E31" s="4">
        <v>27.7</v>
      </c>
      <c r="F31" s="4">
        <v>12.4</v>
      </c>
      <c r="G31" s="15">
        <f t="shared" si="1"/>
        <v>151.43171806167402</v>
      </c>
      <c r="H31" s="4">
        <v>53000</v>
      </c>
      <c r="I31" s="4">
        <v>60000</v>
      </c>
      <c r="J31" s="4">
        <v>100</v>
      </c>
      <c r="K31" s="4">
        <v>140</v>
      </c>
      <c r="L31" s="4">
        <v>0.4</v>
      </c>
      <c r="M31" s="13">
        <f t="shared" si="2"/>
        <v>17.391304347826086</v>
      </c>
      <c r="N31" s="4">
        <v>23</v>
      </c>
      <c r="O31" s="4">
        <v>125</v>
      </c>
      <c r="P31" s="15">
        <f t="shared" si="3"/>
        <v>275.3303964757709</v>
      </c>
      <c r="Q31" s="16">
        <f t="shared" si="5"/>
        <v>1264.0163098878695</v>
      </c>
      <c r="R31" s="4" t="s">
        <v>41</v>
      </c>
      <c r="S31" s="17"/>
    </row>
    <row r="32" spans="1:19" x14ac:dyDescent="0.3">
      <c r="B32" s="2">
        <v>28</v>
      </c>
      <c r="C32" s="43" t="str">
        <f t="shared" si="0"/>
        <v>329 AlMgSi</v>
      </c>
      <c r="D32" s="4">
        <v>329</v>
      </c>
      <c r="E32" s="4">
        <v>23.6</v>
      </c>
      <c r="F32" s="4">
        <v>8.9600000000000009</v>
      </c>
      <c r="G32" s="15">
        <f t="shared" si="1"/>
        <v>151.62613981762919</v>
      </c>
      <c r="H32" s="4">
        <v>57000</v>
      </c>
      <c r="I32" s="4">
        <v>62000</v>
      </c>
      <c r="J32" s="4">
        <v>100</v>
      </c>
      <c r="K32" s="4">
        <v>140</v>
      </c>
      <c r="L32" s="4">
        <v>0.4</v>
      </c>
      <c r="M32" s="13">
        <f t="shared" si="2"/>
        <v>17.391304347826086</v>
      </c>
      <c r="N32" s="4">
        <v>23</v>
      </c>
      <c r="O32" s="4">
        <v>90.7</v>
      </c>
      <c r="P32" s="15">
        <f t="shared" si="3"/>
        <v>275.68389057750761</v>
      </c>
      <c r="Q32" s="16">
        <f t="shared" si="5"/>
        <v>913.3537206931702</v>
      </c>
      <c r="R32" s="4" t="s">
        <v>41</v>
      </c>
      <c r="S32" s="17"/>
    </row>
    <row r="33" spans="1:19" x14ac:dyDescent="0.3">
      <c r="B33" s="2">
        <v>29</v>
      </c>
      <c r="C33" s="43" t="str">
        <f t="shared" si="0"/>
        <v>234 AlMgSi</v>
      </c>
      <c r="D33" s="4">
        <v>234</v>
      </c>
      <c r="E33" s="4">
        <v>20.100000000000001</v>
      </c>
      <c r="F33" s="4">
        <v>6.52</v>
      </c>
      <c r="G33" s="15">
        <f t="shared" si="1"/>
        <v>144.7863247863248</v>
      </c>
      <c r="H33" s="4">
        <v>61000</v>
      </c>
      <c r="I33" s="4">
        <v>64000</v>
      </c>
      <c r="J33" s="4">
        <v>100</v>
      </c>
      <c r="K33" s="4">
        <v>140</v>
      </c>
      <c r="L33" s="4">
        <v>0.4</v>
      </c>
      <c r="M33" s="13">
        <f t="shared" si="2"/>
        <v>17.391304347826086</v>
      </c>
      <c r="N33" s="4">
        <v>23</v>
      </c>
      <c r="O33" s="4">
        <v>61.6</v>
      </c>
      <c r="P33" s="15">
        <f t="shared" si="3"/>
        <v>263.24786324786322</v>
      </c>
      <c r="Q33" s="16">
        <f t="shared" si="5"/>
        <v>664.62793068297651</v>
      </c>
      <c r="R33" s="4" t="s">
        <v>41</v>
      </c>
      <c r="S33" s="17"/>
    </row>
    <row r="34" spans="1:19" x14ac:dyDescent="0.3">
      <c r="B34" s="2">
        <v>30</v>
      </c>
      <c r="C34" s="43" t="str">
        <f t="shared" si="0"/>
        <v>157 AlMgSi</v>
      </c>
      <c r="D34" s="4">
        <v>157</v>
      </c>
      <c r="E34" s="4">
        <v>16.3</v>
      </c>
      <c r="F34" s="4">
        <v>4.3</v>
      </c>
      <c r="G34" s="15">
        <f t="shared" si="1"/>
        <v>153.08917197452232</v>
      </c>
      <c r="H34" s="4">
        <v>61000</v>
      </c>
      <c r="I34" s="4">
        <v>64000</v>
      </c>
      <c r="J34" s="4">
        <v>100</v>
      </c>
      <c r="K34" s="4">
        <v>140</v>
      </c>
      <c r="L34" s="4">
        <v>0.4</v>
      </c>
      <c r="M34" s="13">
        <f t="shared" si="2"/>
        <v>17.391304347826086</v>
      </c>
      <c r="N34" s="4">
        <v>23</v>
      </c>
      <c r="O34" s="4">
        <v>43.7</v>
      </c>
      <c r="P34" s="15">
        <f t="shared" si="3"/>
        <v>278.343949044586</v>
      </c>
      <c r="Q34" s="16">
        <f t="shared" si="5"/>
        <v>438.32823649337411</v>
      </c>
      <c r="R34" s="4" t="s">
        <v>41</v>
      </c>
      <c r="S34" s="17"/>
    </row>
    <row r="35" spans="1:19" x14ac:dyDescent="0.3">
      <c r="B35" s="2">
        <v>31</v>
      </c>
      <c r="C35" s="43" t="str">
        <f t="shared" si="0"/>
        <v>99 AlMgSi</v>
      </c>
      <c r="D35" s="4">
        <v>99</v>
      </c>
      <c r="E35" s="4">
        <v>12.8</v>
      </c>
      <c r="F35" s="4">
        <v>2.66</v>
      </c>
      <c r="G35" s="15">
        <f t="shared" si="1"/>
        <v>140.55555555555557</v>
      </c>
      <c r="H35" s="4">
        <v>65000</v>
      </c>
      <c r="I35" s="4">
        <v>67000</v>
      </c>
      <c r="J35" s="4">
        <v>100</v>
      </c>
      <c r="K35" s="4">
        <v>140</v>
      </c>
      <c r="L35" s="4">
        <v>0.4</v>
      </c>
      <c r="M35" s="13">
        <f t="shared" si="2"/>
        <v>17.391304347826086</v>
      </c>
      <c r="N35" s="4">
        <v>23</v>
      </c>
      <c r="O35" s="4">
        <v>25.3</v>
      </c>
      <c r="P35" s="15">
        <f t="shared" si="3"/>
        <v>255.55555555555554</v>
      </c>
      <c r="Q35" s="16">
        <f t="shared" si="5"/>
        <v>271.15188583078492</v>
      </c>
      <c r="R35" s="4" t="s">
        <v>41</v>
      </c>
      <c r="S35" s="17"/>
    </row>
    <row r="36" spans="1:19" x14ac:dyDescent="0.3">
      <c r="B36" s="2">
        <v>32</v>
      </c>
      <c r="C36" s="43" t="str">
        <f t="shared" si="0"/>
        <v>62 AlMgSi</v>
      </c>
      <c r="D36" s="4">
        <v>62</v>
      </c>
      <c r="E36" s="4">
        <v>10.1</v>
      </c>
      <c r="F36" s="4">
        <v>1.68</v>
      </c>
      <c r="G36" s="15">
        <f t="shared" si="1"/>
        <v>152.58064516129033</v>
      </c>
      <c r="H36" s="4">
        <v>65000</v>
      </c>
      <c r="I36" s="4">
        <v>67000</v>
      </c>
      <c r="J36" s="4">
        <v>100</v>
      </c>
      <c r="K36" s="4">
        <v>140</v>
      </c>
      <c r="L36" s="4">
        <v>0.4</v>
      </c>
      <c r="M36" s="13">
        <f t="shared" si="2"/>
        <v>17.391304347826086</v>
      </c>
      <c r="N36" s="4">
        <v>23</v>
      </c>
      <c r="O36" s="4">
        <v>17.2</v>
      </c>
      <c r="P36" s="15">
        <f t="shared" si="3"/>
        <v>277.41935483870969</v>
      </c>
      <c r="Q36" s="16">
        <f t="shared" si="5"/>
        <v>171.25382262996942</v>
      </c>
      <c r="R36" s="4" t="s">
        <v>41</v>
      </c>
      <c r="S36" s="17"/>
    </row>
    <row r="37" spans="1:19" x14ac:dyDescent="0.3">
      <c r="B37" s="2">
        <v>33</v>
      </c>
      <c r="C37" s="43" t="str">
        <f t="shared" ref="C37:C68" si="6">CONCATENATE(D37," ",R37)</f>
        <v>49 AlMgSi</v>
      </c>
      <c r="D37" s="4">
        <v>49</v>
      </c>
      <c r="E37" s="4">
        <v>9</v>
      </c>
      <c r="F37" s="4">
        <v>1.32</v>
      </c>
      <c r="G37" s="15">
        <f t="shared" ref="G37:G58" si="7">P37*0.55</f>
        <v>160.51020408163265</v>
      </c>
      <c r="H37" s="4">
        <v>65000</v>
      </c>
      <c r="I37" s="4">
        <v>67000</v>
      </c>
      <c r="J37" s="4">
        <v>100</v>
      </c>
      <c r="K37" s="4">
        <v>140</v>
      </c>
      <c r="L37" s="4">
        <v>0.4</v>
      </c>
      <c r="M37" s="13">
        <f t="shared" ref="M37:M68" si="8">1000*L37/N37</f>
        <v>17.391304347826086</v>
      </c>
      <c r="N37" s="4">
        <v>23</v>
      </c>
      <c r="O37" s="4">
        <v>14.3</v>
      </c>
      <c r="P37" s="15">
        <f t="shared" si="3"/>
        <v>291.83673469387753</v>
      </c>
      <c r="Q37" s="16">
        <f t="shared" si="5"/>
        <v>134.5565749235474</v>
      </c>
      <c r="R37" s="4" t="s">
        <v>41</v>
      </c>
      <c r="S37" s="17"/>
    </row>
    <row r="38" spans="1:19" x14ac:dyDescent="0.3">
      <c r="B38" s="2">
        <v>34</v>
      </c>
      <c r="C38" s="43" t="str">
        <f t="shared" si="6"/>
        <v>31 AlMgSi</v>
      </c>
      <c r="D38" s="4">
        <v>31</v>
      </c>
      <c r="E38" s="4">
        <v>7.1</v>
      </c>
      <c r="F38" s="4">
        <v>0.83</v>
      </c>
      <c r="G38" s="15">
        <f t="shared" si="7"/>
        <v>165.17741935483872</v>
      </c>
      <c r="H38" s="4">
        <v>65000</v>
      </c>
      <c r="I38" s="4">
        <v>67000</v>
      </c>
      <c r="J38" s="4">
        <v>100</v>
      </c>
      <c r="K38" s="4">
        <v>140</v>
      </c>
      <c r="L38" s="4">
        <v>0.4</v>
      </c>
      <c r="M38" s="13">
        <f t="shared" si="8"/>
        <v>17.391304347826086</v>
      </c>
      <c r="N38" s="4">
        <v>23</v>
      </c>
      <c r="O38" s="4">
        <v>9.31</v>
      </c>
      <c r="P38" s="15">
        <f t="shared" si="3"/>
        <v>300.32258064516128</v>
      </c>
      <c r="Q38" s="16">
        <f t="shared" si="5"/>
        <v>84.607543323139652</v>
      </c>
      <c r="R38" s="4" t="s">
        <v>41</v>
      </c>
      <c r="S38" s="17"/>
    </row>
    <row r="39" spans="1:19" x14ac:dyDescent="0.3">
      <c r="A39" s="7" t="s">
        <v>42</v>
      </c>
      <c r="B39" s="8">
        <v>35</v>
      </c>
      <c r="C39" s="42" t="str">
        <f t="shared" si="6"/>
        <v>910 FeAl Falcon</v>
      </c>
      <c r="D39" s="7">
        <v>910</v>
      </c>
      <c r="E39" s="7">
        <v>39.299999999999997</v>
      </c>
      <c r="F39" s="7">
        <v>29.9</v>
      </c>
      <c r="G39" s="11">
        <f t="shared" si="7"/>
        <v>151.70329670329673</v>
      </c>
      <c r="H39" s="7">
        <v>51000</v>
      </c>
      <c r="I39" s="7">
        <v>71000</v>
      </c>
      <c r="J39" s="7">
        <v>120</v>
      </c>
      <c r="K39" s="7">
        <v>85</v>
      </c>
      <c r="L39" s="7">
        <v>0.4</v>
      </c>
      <c r="M39" s="9">
        <f t="shared" si="8"/>
        <v>21.05263157894737</v>
      </c>
      <c r="N39" s="7">
        <v>19</v>
      </c>
      <c r="O39" s="7">
        <v>251</v>
      </c>
      <c r="P39" s="11">
        <f t="shared" si="3"/>
        <v>275.82417582417582</v>
      </c>
      <c r="Q39" s="9">
        <f t="shared" si="5"/>
        <v>3047.9102956167176</v>
      </c>
      <c r="R39" s="7" t="s">
        <v>43</v>
      </c>
      <c r="S39" s="12"/>
    </row>
    <row r="40" spans="1:19" x14ac:dyDescent="0.3">
      <c r="B40" s="2">
        <v>36</v>
      </c>
      <c r="C40" s="43" t="str">
        <f t="shared" si="6"/>
        <v>910 FeAl Orre</v>
      </c>
      <c r="D40" s="4">
        <v>910</v>
      </c>
      <c r="E40" s="4">
        <v>39.200000000000003</v>
      </c>
      <c r="F40" s="4">
        <v>27</v>
      </c>
      <c r="G40" s="15">
        <f t="shared" si="7"/>
        <v>115.43956043956045</v>
      </c>
      <c r="H40" s="4">
        <v>47000</v>
      </c>
      <c r="I40" s="4">
        <v>60000</v>
      </c>
      <c r="J40" s="4">
        <v>100</v>
      </c>
      <c r="K40" s="4">
        <v>145</v>
      </c>
      <c r="L40" s="4">
        <v>0.5</v>
      </c>
      <c r="M40" s="13">
        <f t="shared" si="8"/>
        <v>23.80952380952381</v>
      </c>
      <c r="N40" s="4">
        <v>21</v>
      </c>
      <c r="O40" s="4">
        <v>191</v>
      </c>
      <c r="P40" s="15">
        <f t="shared" si="3"/>
        <v>209.8901098901099</v>
      </c>
      <c r="Q40" s="16">
        <f t="shared" si="5"/>
        <v>2752.2935779816512</v>
      </c>
      <c r="R40" s="4" t="s">
        <v>44</v>
      </c>
      <c r="S40" s="17"/>
    </row>
    <row r="41" spans="1:19" x14ac:dyDescent="0.3">
      <c r="B41" s="2">
        <v>37</v>
      </c>
      <c r="C41" s="43" t="str">
        <f t="shared" si="6"/>
        <v>772 FeAl Martin</v>
      </c>
      <c r="D41" s="4">
        <v>772</v>
      </c>
      <c r="E41" s="4">
        <v>36.200000000000003</v>
      </c>
      <c r="F41" s="4">
        <v>25.4</v>
      </c>
      <c r="G41" s="15">
        <f t="shared" si="7"/>
        <v>151.74870466321246</v>
      </c>
      <c r="H41" s="4">
        <v>51000</v>
      </c>
      <c r="I41" s="4">
        <v>71000</v>
      </c>
      <c r="J41" s="4">
        <v>120</v>
      </c>
      <c r="K41" s="4">
        <v>85</v>
      </c>
      <c r="L41" s="4">
        <v>0.4</v>
      </c>
      <c r="M41" s="13">
        <f t="shared" si="8"/>
        <v>21.05263157894737</v>
      </c>
      <c r="N41" s="4">
        <v>19</v>
      </c>
      <c r="O41" s="4">
        <v>213</v>
      </c>
      <c r="P41" s="15">
        <f t="shared" si="3"/>
        <v>275.90673575129534</v>
      </c>
      <c r="Q41" s="16">
        <f t="shared" si="5"/>
        <v>2589.1946992864423</v>
      </c>
      <c r="R41" s="4" t="s">
        <v>45</v>
      </c>
      <c r="S41" s="17"/>
    </row>
    <row r="42" spans="1:19" x14ac:dyDescent="0.3">
      <c r="B42" s="2">
        <v>38</v>
      </c>
      <c r="C42" s="43" t="str">
        <f t="shared" si="6"/>
        <v>774 FeAl Skata</v>
      </c>
      <c r="D42" s="4">
        <v>774</v>
      </c>
      <c r="E42" s="4">
        <v>36.200000000000003</v>
      </c>
      <c r="F42" s="4">
        <v>25.5</v>
      </c>
      <c r="G42" s="15">
        <f t="shared" si="7"/>
        <v>150.64599483204137</v>
      </c>
      <c r="H42" s="4">
        <v>52000</v>
      </c>
      <c r="I42" s="4">
        <v>72000</v>
      </c>
      <c r="J42" s="4">
        <v>120</v>
      </c>
      <c r="K42" s="4">
        <v>90</v>
      </c>
      <c r="L42" s="4">
        <v>0.4</v>
      </c>
      <c r="M42" s="13">
        <f t="shared" si="8"/>
        <v>21.05263157894737</v>
      </c>
      <c r="N42" s="4">
        <v>19</v>
      </c>
      <c r="O42" s="4">
        <v>212</v>
      </c>
      <c r="P42" s="15">
        <f t="shared" si="3"/>
        <v>273.90180878552974</v>
      </c>
      <c r="Q42" s="16">
        <f t="shared" si="5"/>
        <v>2599.3883792048928</v>
      </c>
      <c r="R42" s="4" t="s">
        <v>46</v>
      </c>
      <c r="S42" s="17"/>
    </row>
    <row r="43" spans="1:19" x14ac:dyDescent="0.3">
      <c r="B43" s="2">
        <v>39</v>
      </c>
      <c r="C43" s="43" t="str">
        <f t="shared" si="6"/>
        <v>774 FeAl Ripa</v>
      </c>
      <c r="D43" s="4">
        <v>774</v>
      </c>
      <c r="E43" s="4">
        <v>36.200000000000003</v>
      </c>
      <c r="F43" s="4">
        <v>22.9</v>
      </c>
      <c r="G43" s="15">
        <f t="shared" si="7"/>
        <v>115.11627906976744</v>
      </c>
      <c r="H43" s="4">
        <v>47000</v>
      </c>
      <c r="I43" s="4">
        <v>60000</v>
      </c>
      <c r="J43" s="4">
        <v>100</v>
      </c>
      <c r="K43" s="4">
        <v>145</v>
      </c>
      <c r="L43" s="4">
        <v>0.5</v>
      </c>
      <c r="M43" s="13">
        <f t="shared" si="8"/>
        <v>23.80952380952381</v>
      </c>
      <c r="N43" s="4">
        <v>21</v>
      </c>
      <c r="O43" s="4">
        <v>162</v>
      </c>
      <c r="P43" s="15">
        <f t="shared" si="3"/>
        <v>209.30232558139534</v>
      </c>
      <c r="Q43" s="16">
        <f t="shared" si="5"/>
        <v>2334.3527013251783</v>
      </c>
      <c r="R43" s="4" t="s">
        <v>47</v>
      </c>
      <c r="S43" s="17"/>
    </row>
    <row r="44" spans="1:19" x14ac:dyDescent="0.3">
      <c r="B44" s="2">
        <v>40</v>
      </c>
      <c r="C44" s="43" t="str">
        <f t="shared" si="6"/>
        <v>593 FeAl Curlew</v>
      </c>
      <c r="D44" s="4">
        <v>593</v>
      </c>
      <c r="E44" s="4">
        <v>31.7</v>
      </c>
      <c r="F44" s="4">
        <v>19.600000000000001</v>
      </c>
      <c r="G44" s="15">
        <f t="shared" si="7"/>
        <v>153.035413153457</v>
      </c>
      <c r="H44" s="4">
        <v>52000</v>
      </c>
      <c r="I44" s="4">
        <v>72000</v>
      </c>
      <c r="J44" s="4">
        <v>120</v>
      </c>
      <c r="K44" s="4">
        <v>90</v>
      </c>
      <c r="L44" s="4">
        <v>0.4</v>
      </c>
      <c r="M44" s="13">
        <f t="shared" si="8"/>
        <v>21.05263157894737</v>
      </c>
      <c r="N44" s="4">
        <v>19</v>
      </c>
      <c r="O44" s="4">
        <v>165</v>
      </c>
      <c r="P44" s="15">
        <f t="shared" si="3"/>
        <v>278.24620573355816</v>
      </c>
      <c r="Q44" s="16">
        <f t="shared" si="5"/>
        <v>1997.9612640163098</v>
      </c>
      <c r="R44" s="4" t="s">
        <v>48</v>
      </c>
      <c r="S44" s="17"/>
    </row>
    <row r="45" spans="1:19" x14ac:dyDescent="0.3">
      <c r="B45" s="2">
        <v>41</v>
      </c>
      <c r="C45" s="43" t="str">
        <f t="shared" si="6"/>
        <v>593 FeAl Morkulla</v>
      </c>
      <c r="D45" s="4">
        <v>593</v>
      </c>
      <c r="E45" s="4">
        <v>31.7</v>
      </c>
      <c r="F45" s="4">
        <v>17.5</v>
      </c>
      <c r="G45" s="15">
        <f t="shared" si="7"/>
        <v>118.71838111298483</v>
      </c>
      <c r="H45" s="4">
        <v>47000</v>
      </c>
      <c r="I45" s="4">
        <v>60000</v>
      </c>
      <c r="J45" s="4">
        <v>100</v>
      </c>
      <c r="K45" s="4">
        <v>145</v>
      </c>
      <c r="L45" s="4">
        <v>0.5</v>
      </c>
      <c r="M45" s="13">
        <f t="shared" si="8"/>
        <v>23.80952380952381</v>
      </c>
      <c r="N45" s="4">
        <v>21</v>
      </c>
      <c r="O45" s="4">
        <v>128</v>
      </c>
      <c r="P45" s="15">
        <f t="shared" si="3"/>
        <v>215.85160202360876</v>
      </c>
      <c r="Q45" s="16">
        <f t="shared" si="5"/>
        <v>1783.8939857288481</v>
      </c>
      <c r="R45" s="4" t="s">
        <v>49</v>
      </c>
      <c r="S45" s="17"/>
    </row>
    <row r="46" spans="1:19" x14ac:dyDescent="0.3">
      <c r="B46" s="2">
        <v>42</v>
      </c>
      <c r="C46" s="43" t="str">
        <f t="shared" si="6"/>
        <v>454 FeAl Condor</v>
      </c>
      <c r="D46" s="4">
        <v>454</v>
      </c>
      <c r="E46" s="4">
        <v>27.7</v>
      </c>
      <c r="F46" s="4">
        <v>15</v>
      </c>
      <c r="G46" s="15">
        <f t="shared" si="7"/>
        <v>156.27753303964758</v>
      </c>
      <c r="H46" s="4">
        <v>52000</v>
      </c>
      <c r="I46" s="4">
        <v>72000</v>
      </c>
      <c r="J46" s="4">
        <v>120</v>
      </c>
      <c r="K46" s="4">
        <v>90</v>
      </c>
      <c r="L46" s="4">
        <v>0.4</v>
      </c>
      <c r="M46" s="13">
        <f t="shared" si="8"/>
        <v>21.05263157894737</v>
      </c>
      <c r="N46" s="4">
        <v>19</v>
      </c>
      <c r="O46" s="4">
        <v>129</v>
      </c>
      <c r="P46" s="15">
        <f t="shared" si="3"/>
        <v>284.14096916299559</v>
      </c>
      <c r="Q46" s="16">
        <f t="shared" si="5"/>
        <v>1529.051987767584</v>
      </c>
      <c r="R46" s="4" t="s">
        <v>50</v>
      </c>
      <c r="S46" s="17"/>
    </row>
    <row r="47" spans="1:19" x14ac:dyDescent="0.3">
      <c r="B47" s="2">
        <v>43</v>
      </c>
      <c r="C47" s="43" t="str">
        <f t="shared" si="6"/>
        <v>329 FeAl Dove</v>
      </c>
      <c r="D47" s="4">
        <v>329</v>
      </c>
      <c r="E47" s="4">
        <v>23.6</v>
      </c>
      <c r="F47" s="4">
        <v>11.2</v>
      </c>
      <c r="G47" s="15">
        <f t="shared" si="7"/>
        <v>166.67173252279636</v>
      </c>
      <c r="H47" s="4">
        <v>60000</v>
      </c>
      <c r="I47" s="4">
        <v>76000</v>
      </c>
      <c r="J47" s="4">
        <v>120</v>
      </c>
      <c r="K47" s="4">
        <v>160</v>
      </c>
      <c r="L47" s="4">
        <v>0.4</v>
      </c>
      <c r="M47" s="13">
        <f t="shared" si="8"/>
        <v>21.05263157894737</v>
      </c>
      <c r="N47" s="4">
        <v>19</v>
      </c>
      <c r="O47" s="4">
        <v>99.7</v>
      </c>
      <c r="P47" s="15">
        <f t="shared" si="3"/>
        <v>303.03951367781156</v>
      </c>
      <c r="Q47" s="16">
        <f t="shared" si="5"/>
        <v>1141.6921508664627</v>
      </c>
      <c r="R47" s="4" t="s">
        <v>51</v>
      </c>
      <c r="S47" s="17"/>
    </row>
    <row r="48" spans="1:19" x14ac:dyDescent="0.3">
      <c r="B48" s="2">
        <v>44</v>
      </c>
      <c r="C48" s="43" t="str">
        <f t="shared" si="6"/>
        <v>281 FeAl Hawk</v>
      </c>
      <c r="D48" s="4">
        <v>281</v>
      </c>
      <c r="E48" s="4">
        <v>21.8</v>
      </c>
      <c r="F48" s="4">
        <v>9.58</v>
      </c>
      <c r="G48" s="15">
        <f t="shared" si="7"/>
        <v>169.89323843416372</v>
      </c>
      <c r="H48" s="4">
        <v>60000</v>
      </c>
      <c r="I48" s="4">
        <v>76000</v>
      </c>
      <c r="J48" s="4">
        <v>120</v>
      </c>
      <c r="K48" s="4">
        <v>160</v>
      </c>
      <c r="L48" s="4">
        <v>0.4</v>
      </c>
      <c r="M48" s="13">
        <f t="shared" si="8"/>
        <v>21.05263157894737</v>
      </c>
      <c r="N48" s="4">
        <v>19</v>
      </c>
      <c r="O48" s="4">
        <v>86.8</v>
      </c>
      <c r="P48" s="15">
        <f t="shared" si="3"/>
        <v>308.89679715302492</v>
      </c>
      <c r="Q48" s="16">
        <f t="shared" si="5"/>
        <v>976.55453618756371</v>
      </c>
      <c r="R48" s="4" t="s">
        <v>52</v>
      </c>
      <c r="S48" s="17"/>
    </row>
    <row r="49" spans="1:19" x14ac:dyDescent="0.3">
      <c r="B49" s="2">
        <v>45</v>
      </c>
      <c r="C49" s="43" t="str">
        <f t="shared" si="6"/>
        <v>234 FeAl Ibis</v>
      </c>
      <c r="D49" s="4">
        <v>234</v>
      </c>
      <c r="E49" s="4">
        <v>19.899999999999999</v>
      </c>
      <c r="F49" s="4">
        <v>7.99</v>
      </c>
      <c r="G49" s="15">
        <f t="shared" si="7"/>
        <v>171.34615384615387</v>
      </c>
      <c r="H49" s="4">
        <v>60000</v>
      </c>
      <c r="I49" s="4">
        <v>76000</v>
      </c>
      <c r="J49" s="4">
        <v>120</v>
      </c>
      <c r="K49" s="4">
        <v>160</v>
      </c>
      <c r="L49" s="4">
        <v>0.4</v>
      </c>
      <c r="M49" s="13">
        <f t="shared" si="8"/>
        <v>21.05263157894737</v>
      </c>
      <c r="N49" s="4">
        <v>19</v>
      </c>
      <c r="O49" s="4">
        <v>72.900000000000006</v>
      </c>
      <c r="P49" s="15">
        <f t="shared" si="3"/>
        <v>311.53846153846155</v>
      </c>
      <c r="Q49" s="16">
        <f t="shared" si="5"/>
        <v>814.4750254841997</v>
      </c>
      <c r="R49" s="4" t="s">
        <v>53</v>
      </c>
      <c r="S49" s="17"/>
    </row>
    <row r="50" spans="1:19" x14ac:dyDescent="0.3">
      <c r="B50" s="2">
        <v>46</v>
      </c>
      <c r="C50" s="43" t="str">
        <f t="shared" si="6"/>
        <v>157 FeAl Partridge</v>
      </c>
      <c r="D50" s="4">
        <v>157</v>
      </c>
      <c r="E50" s="4">
        <v>16.3</v>
      </c>
      <c r="F50" s="4">
        <v>5.36</v>
      </c>
      <c r="G50" s="15">
        <f t="shared" si="7"/>
        <v>175.85987261146497</v>
      </c>
      <c r="H50" s="4">
        <v>60000</v>
      </c>
      <c r="I50" s="4">
        <v>76000</v>
      </c>
      <c r="J50" s="4">
        <v>120</v>
      </c>
      <c r="K50" s="4">
        <v>160</v>
      </c>
      <c r="L50" s="4">
        <v>0.4</v>
      </c>
      <c r="M50" s="13">
        <f t="shared" si="8"/>
        <v>21.05263157894737</v>
      </c>
      <c r="N50" s="4">
        <v>19</v>
      </c>
      <c r="O50" s="4">
        <v>50.2</v>
      </c>
      <c r="P50" s="15">
        <f t="shared" si="3"/>
        <v>319.74522292993629</v>
      </c>
      <c r="Q50" s="16">
        <f t="shared" si="5"/>
        <v>546.38124362895007</v>
      </c>
      <c r="R50" s="4" t="s">
        <v>54</v>
      </c>
      <c r="S50" s="17"/>
    </row>
    <row r="51" spans="1:19" x14ac:dyDescent="0.3">
      <c r="B51" s="2">
        <v>47</v>
      </c>
      <c r="C51" s="43" t="str">
        <f t="shared" si="6"/>
        <v>99 FeAl Pigeon</v>
      </c>
      <c r="D51" s="4">
        <v>99</v>
      </c>
      <c r="E51" s="4">
        <v>12.8</v>
      </c>
      <c r="F51" s="4">
        <v>3.37</v>
      </c>
      <c r="G51" s="15">
        <f t="shared" si="7"/>
        <v>165.55555555555554</v>
      </c>
      <c r="H51" s="4">
        <v>59000</v>
      </c>
      <c r="I51" s="4">
        <v>80000</v>
      </c>
      <c r="J51" s="4">
        <v>135</v>
      </c>
      <c r="K51" s="4">
        <v>145</v>
      </c>
      <c r="L51" s="4">
        <v>0.3</v>
      </c>
      <c r="M51" s="13">
        <f t="shared" si="8"/>
        <v>15.789473684210526</v>
      </c>
      <c r="N51" s="4">
        <v>19</v>
      </c>
      <c r="O51" s="4">
        <v>29.8</v>
      </c>
      <c r="P51" s="15">
        <f t="shared" si="3"/>
        <v>301.01010101010098</v>
      </c>
      <c r="Q51" s="16">
        <f t="shared" si="5"/>
        <v>343.5270132517839</v>
      </c>
      <c r="R51" s="4" t="s">
        <v>55</v>
      </c>
      <c r="S51" s="17"/>
    </row>
    <row r="52" spans="1:19" x14ac:dyDescent="0.3">
      <c r="B52" s="2">
        <v>48</v>
      </c>
      <c r="C52" s="43" t="str">
        <f t="shared" si="6"/>
        <v>62 FeAl Raven</v>
      </c>
      <c r="D52" s="4">
        <v>62</v>
      </c>
      <c r="E52" s="4">
        <v>10.1</v>
      </c>
      <c r="F52" s="4">
        <v>2.12</v>
      </c>
      <c r="G52" s="15">
        <f t="shared" si="7"/>
        <v>168.54838709677421</v>
      </c>
      <c r="H52" s="4">
        <v>59000</v>
      </c>
      <c r="I52" s="4">
        <v>80000</v>
      </c>
      <c r="J52" s="4">
        <v>135</v>
      </c>
      <c r="K52" s="4">
        <v>145</v>
      </c>
      <c r="L52" s="4">
        <v>0.3</v>
      </c>
      <c r="M52" s="13">
        <f t="shared" si="8"/>
        <v>15.789473684210526</v>
      </c>
      <c r="N52" s="4">
        <v>19</v>
      </c>
      <c r="O52" s="4">
        <v>19</v>
      </c>
      <c r="P52" s="15">
        <f t="shared" si="3"/>
        <v>306.45161290322579</v>
      </c>
      <c r="Q52" s="16">
        <f t="shared" si="5"/>
        <v>216.10601427115188</v>
      </c>
      <c r="R52" s="4" t="s">
        <v>56</v>
      </c>
      <c r="S52" s="17"/>
    </row>
    <row r="53" spans="1:19" x14ac:dyDescent="0.3">
      <c r="B53" s="2">
        <v>49</v>
      </c>
      <c r="C53" s="43" t="str">
        <f t="shared" si="6"/>
        <v>49 FeAl Robin</v>
      </c>
      <c r="D53" s="4">
        <v>49</v>
      </c>
      <c r="E53" s="4">
        <v>9</v>
      </c>
      <c r="F53" s="4">
        <v>1.68</v>
      </c>
      <c r="G53" s="15">
        <f t="shared" si="7"/>
        <v>175.10204081632654</v>
      </c>
      <c r="H53" s="4">
        <v>59000</v>
      </c>
      <c r="I53" s="4">
        <v>80000</v>
      </c>
      <c r="J53" s="4">
        <v>135</v>
      </c>
      <c r="K53" s="4">
        <v>145</v>
      </c>
      <c r="L53" s="4">
        <v>0.3</v>
      </c>
      <c r="M53" s="13">
        <f t="shared" si="8"/>
        <v>15.789473684210526</v>
      </c>
      <c r="N53" s="4">
        <v>19</v>
      </c>
      <c r="O53" s="4">
        <v>15.6</v>
      </c>
      <c r="P53" s="15">
        <f t="shared" si="3"/>
        <v>318.36734693877548</v>
      </c>
      <c r="Q53" s="16">
        <f t="shared" si="5"/>
        <v>171.25382262996942</v>
      </c>
      <c r="R53" s="4" t="s">
        <v>57</v>
      </c>
      <c r="S53" s="17"/>
    </row>
    <row r="54" spans="1:19" x14ac:dyDescent="0.3">
      <c r="B54" s="2">
        <v>50</v>
      </c>
      <c r="C54" s="43" t="str">
        <f t="shared" si="6"/>
        <v>31 FeAl Swallow</v>
      </c>
      <c r="D54" s="4">
        <v>31</v>
      </c>
      <c r="E54" s="4">
        <v>7.1</v>
      </c>
      <c r="F54" s="4">
        <v>1.06</v>
      </c>
      <c r="G54" s="15">
        <f t="shared" si="7"/>
        <v>177.41935483870969</v>
      </c>
      <c r="H54" s="4">
        <v>59000</v>
      </c>
      <c r="I54" s="4">
        <v>80000</v>
      </c>
      <c r="J54" s="4">
        <v>135</v>
      </c>
      <c r="K54" s="4">
        <v>145</v>
      </c>
      <c r="L54" s="4">
        <v>0.3</v>
      </c>
      <c r="M54" s="13">
        <f t="shared" si="8"/>
        <v>15.789473684210526</v>
      </c>
      <c r="N54" s="4">
        <v>19</v>
      </c>
      <c r="O54" s="4">
        <v>10</v>
      </c>
      <c r="P54" s="15">
        <f t="shared" si="3"/>
        <v>322.58064516129031</v>
      </c>
      <c r="Q54" s="16">
        <f t="shared" si="5"/>
        <v>108.05300713557594</v>
      </c>
      <c r="R54" s="4" t="s">
        <v>58</v>
      </c>
      <c r="S54" s="17"/>
    </row>
    <row r="55" spans="1:19" x14ac:dyDescent="0.3">
      <c r="B55" s="2">
        <v>51</v>
      </c>
      <c r="C55" s="43" t="str">
        <f t="shared" si="6"/>
        <v>319 FeAl Ymer</v>
      </c>
      <c r="D55" s="4">
        <v>319</v>
      </c>
      <c r="E55" s="4">
        <v>23.2</v>
      </c>
      <c r="F55" s="4">
        <v>12.1</v>
      </c>
      <c r="G55" s="15">
        <f t="shared" si="7"/>
        <v>205.17241379310346</v>
      </c>
      <c r="H55" s="4">
        <v>74000</v>
      </c>
      <c r="I55" s="4">
        <v>83000</v>
      </c>
      <c r="J55" s="4">
        <v>150</v>
      </c>
      <c r="K55" s="4">
        <v>80</v>
      </c>
      <c r="L55" s="4">
        <v>0.3</v>
      </c>
      <c r="M55" s="13">
        <f t="shared" si="8"/>
        <v>16.666666666666668</v>
      </c>
      <c r="N55" s="4">
        <v>18</v>
      </c>
      <c r="O55" s="4">
        <v>119</v>
      </c>
      <c r="P55" s="15">
        <f t="shared" si="3"/>
        <v>373.04075235109718</v>
      </c>
      <c r="Q55" s="16">
        <f t="shared" si="5"/>
        <v>1233.4352701325179</v>
      </c>
      <c r="R55" s="4" t="s">
        <v>59</v>
      </c>
      <c r="S55" s="17"/>
    </row>
    <row r="56" spans="1:19" x14ac:dyDescent="0.3">
      <c r="B56" s="2">
        <v>52</v>
      </c>
      <c r="C56" s="43" t="str">
        <f t="shared" si="6"/>
        <v>241 FeAl Atle</v>
      </c>
      <c r="D56" s="4">
        <v>241</v>
      </c>
      <c r="E56" s="4">
        <v>20.100000000000001</v>
      </c>
      <c r="F56" s="4">
        <v>11</v>
      </c>
      <c r="G56" s="15">
        <f t="shared" si="7"/>
        <v>280.7053941908714</v>
      </c>
      <c r="H56" s="4">
        <v>91000</v>
      </c>
      <c r="I56" s="4">
        <v>105000</v>
      </c>
      <c r="J56" s="4">
        <v>170</v>
      </c>
      <c r="K56" s="4">
        <v>75</v>
      </c>
      <c r="L56" s="4">
        <v>0.2</v>
      </c>
      <c r="M56" s="13">
        <f t="shared" si="8"/>
        <v>13.333333333333334</v>
      </c>
      <c r="N56" s="4">
        <v>15</v>
      </c>
      <c r="O56" s="4">
        <v>123</v>
      </c>
      <c r="P56" s="15">
        <f t="shared" si="3"/>
        <v>510.37344398340247</v>
      </c>
      <c r="Q56" s="16">
        <f t="shared" si="5"/>
        <v>1121.3047910295616</v>
      </c>
      <c r="R56" s="4" t="s">
        <v>60</v>
      </c>
      <c r="S56" s="17"/>
    </row>
    <row r="57" spans="1:19" x14ac:dyDescent="0.3">
      <c r="B57" s="2">
        <v>53</v>
      </c>
      <c r="C57" s="43" t="str">
        <f t="shared" si="6"/>
        <v>185 FeAl Oden</v>
      </c>
      <c r="D57" s="4">
        <v>185</v>
      </c>
      <c r="E57" s="4">
        <v>17.600000000000001</v>
      </c>
      <c r="F57" s="4">
        <v>8.4</v>
      </c>
      <c r="G57" s="15">
        <f t="shared" si="7"/>
        <v>282.13513513513522</v>
      </c>
      <c r="H57" s="4">
        <v>91000</v>
      </c>
      <c r="I57" s="4">
        <v>105000</v>
      </c>
      <c r="J57" s="4">
        <v>170</v>
      </c>
      <c r="K57" s="4">
        <v>75</v>
      </c>
      <c r="L57" s="4">
        <v>0.2</v>
      </c>
      <c r="M57" s="13">
        <f t="shared" si="8"/>
        <v>13.333333333333334</v>
      </c>
      <c r="N57" s="4">
        <v>15</v>
      </c>
      <c r="O57" s="4">
        <v>94.9</v>
      </c>
      <c r="P57" s="15">
        <f t="shared" si="3"/>
        <v>512.97297297297303</v>
      </c>
      <c r="Q57" s="16">
        <f t="shared" si="5"/>
        <v>856.26911314984704</v>
      </c>
      <c r="R57" s="4" t="s">
        <v>61</v>
      </c>
      <c r="S57" s="17"/>
    </row>
    <row r="58" spans="1:19" x14ac:dyDescent="0.3">
      <c r="B58" s="2">
        <v>54</v>
      </c>
      <c r="C58" s="43" t="str">
        <f t="shared" si="6"/>
        <v>142 FeAl Dotterel</v>
      </c>
      <c r="D58" s="4">
        <v>142</v>
      </c>
      <c r="E58" s="4">
        <v>15.4</v>
      </c>
      <c r="F58" s="4">
        <v>6.44</v>
      </c>
      <c r="G58" s="15">
        <f t="shared" si="7"/>
        <v>283.52112676056339</v>
      </c>
      <c r="H58" s="4">
        <v>91000</v>
      </c>
      <c r="I58" s="4">
        <v>105000</v>
      </c>
      <c r="J58" s="4">
        <v>170</v>
      </c>
      <c r="K58" s="4">
        <v>75</v>
      </c>
      <c r="L58" s="4">
        <v>0.2</v>
      </c>
      <c r="M58" s="13">
        <f t="shared" si="8"/>
        <v>13.333333333333334</v>
      </c>
      <c r="N58" s="4">
        <v>15</v>
      </c>
      <c r="O58" s="4">
        <v>73.2</v>
      </c>
      <c r="P58" s="15">
        <f t="shared" si="3"/>
        <v>515.49295774647885</v>
      </c>
      <c r="Q58" s="16">
        <f t="shared" si="5"/>
        <v>656.47298674821604</v>
      </c>
      <c r="R58" s="4" t="s">
        <v>62</v>
      </c>
      <c r="S58" s="17"/>
    </row>
    <row r="59" spans="1:19" x14ac:dyDescent="0.3">
      <c r="A59" s="7" t="s">
        <v>63</v>
      </c>
      <c r="B59" s="8">
        <v>55</v>
      </c>
      <c r="C59" s="42" t="str">
        <f t="shared" si="6"/>
        <v>625 Cu</v>
      </c>
      <c r="D59" s="7">
        <v>625</v>
      </c>
      <c r="E59" s="26">
        <v>32.6</v>
      </c>
      <c r="F59" s="26">
        <v>56.1</v>
      </c>
      <c r="G59" s="548">
        <v>320</v>
      </c>
      <c r="H59" s="7">
        <v>100000</v>
      </c>
      <c r="I59" s="7">
        <v>116000</v>
      </c>
      <c r="J59" s="7">
        <v>200</v>
      </c>
      <c r="K59" s="7">
        <v>166</v>
      </c>
      <c r="L59" s="7">
        <v>0</v>
      </c>
      <c r="M59" s="9">
        <f t="shared" si="8"/>
        <v>0</v>
      </c>
      <c r="N59" s="7">
        <v>17</v>
      </c>
      <c r="O59" s="26">
        <v>251</v>
      </c>
      <c r="P59" s="27">
        <f t="shared" si="3"/>
        <v>401.6</v>
      </c>
      <c r="Q59" s="28">
        <f t="shared" si="5"/>
        <v>5718.6544342507641</v>
      </c>
      <c r="R59" s="7" t="s">
        <v>63</v>
      </c>
      <c r="S59" s="12"/>
    </row>
    <row r="60" spans="1:19" x14ac:dyDescent="0.3">
      <c r="B60" s="2">
        <v>56</v>
      </c>
      <c r="C60" s="43" t="str">
        <f t="shared" si="6"/>
        <v>400 Cu</v>
      </c>
      <c r="D60" s="4">
        <v>400</v>
      </c>
      <c r="E60" s="29">
        <v>26</v>
      </c>
      <c r="F60" s="29">
        <v>35.799999999999997</v>
      </c>
      <c r="G60" s="549">
        <v>320</v>
      </c>
      <c r="H60" s="4">
        <v>100000</v>
      </c>
      <c r="I60" s="4">
        <v>116000</v>
      </c>
      <c r="J60" s="4">
        <v>200</v>
      </c>
      <c r="K60" s="4">
        <v>166</v>
      </c>
      <c r="L60" s="4">
        <v>0</v>
      </c>
      <c r="M60" s="13">
        <f t="shared" si="8"/>
        <v>0</v>
      </c>
      <c r="N60" s="4">
        <v>17</v>
      </c>
      <c r="O60" s="29">
        <v>159.80000000000001</v>
      </c>
      <c r="P60" s="23">
        <f t="shared" si="3"/>
        <v>399.5</v>
      </c>
      <c r="Q60" s="30">
        <f t="shared" si="5"/>
        <v>3649.3374108053004</v>
      </c>
      <c r="R60" s="4" t="s">
        <v>63</v>
      </c>
      <c r="S60" s="17"/>
    </row>
    <row r="61" spans="1:19" x14ac:dyDescent="0.3">
      <c r="B61" s="2">
        <v>57</v>
      </c>
      <c r="C61" s="43" t="str">
        <f t="shared" si="6"/>
        <v>300 Cu</v>
      </c>
      <c r="D61" s="4">
        <v>300</v>
      </c>
      <c r="E61" s="29">
        <v>22.5</v>
      </c>
      <c r="F61" s="29">
        <v>26.8</v>
      </c>
      <c r="G61" s="549">
        <v>320</v>
      </c>
      <c r="H61" s="4">
        <v>100000</v>
      </c>
      <c r="I61" s="4">
        <v>116000</v>
      </c>
      <c r="J61" s="4">
        <v>200</v>
      </c>
      <c r="K61" s="4">
        <v>166</v>
      </c>
      <c r="L61" s="4">
        <v>0</v>
      </c>
      <c r="M61" s="13">
        <f t="shared" si="8"/>
        <v>0</v>
      </c>
      <c r="N61" s="4">
        <v>17</v>
      </c>
      <c r="O61" s="29">
        <v>119.6</v>
      </c>
      <c r="P61" s="23">
        <f t="shared" si="3"/>
        <v>398.66666666666669</v>
      </c>
      <c r="Q61" s="30">
        <f t="shared" si="5"/>
        <v>2731.9062181447503</v>
      </c>
      <c r="R61" s="4" t="s">
        <v>63</v>
      </c>
      <c r="S61" s="17"/>
    </row>
    <row r="62" spans="1:19" x14ac:dyDescent="0.3">
      <c r="B62" s="2">
        <v>58</v>
      </c>
      <c r="C62" s="43" t="str">
        <f t="shared" si="6"/>
        <v>240 Cu</v>
      </c>
      <c r="D62" s="4">
        <v>240</v>
      </c>
      <c r="E62" s="29">
        <v>20.100000000000001</v>
      </c>
      <c r="F62" s="29">
        <v>21.4</v>
      </c>
      <c r="G62" s="549">
        <v>320</v>
      </c>
      <c r="H62" s="4">
        <v>100000</v>
      </c>
      <c r="I62" s="4">
        <v>116000</v>
      </c>
      <c r="J62" s="4">
        <v>200</v>
      </c>
      <c r="K62" s="4">
        <v>166</v>
      </c>
      <c r="L62" s="4">
        <v>0</v>
      </c>
      <c r="M62" s="13">
        <f t="shared" si="8"/>
        <v>0</v>
      </c>
      <c r="N62" s="4">
        <v>17</v>
      </c>
      <c r="O62" s="29">
        <v>95.8</v>
      </c>
      <c r="P62" s="23">
        <f t="shared" si="3"/>
        <v>399.16666666666669</v>
      </c>
      <c r="Q62" s="30">
        <f t="shared" si="5"/>
        <v>2181.4475025484198</v>
      </c>
      <c r="R62" s="4" t="s">
        <v>63</v>
      </c>
      <c r="S62" s="17"/>
    </row>
    <row r="63" spans="1:19" x14ac:dyDescent="0.3">
      <c r="B63" s="2">
        <v>59</v>
      </c>
      <c r="C63" s="43" t="str">
        <f t="shared" si="6"/>
        <v>185 Cu</v>
      </c>
      <c r="D63" s="4">
        <v>185</v>
      </c>
      <c r="E63" s="29">
        <v>17.600000000000001</v>
      </c>
      <c r="F63" s="29">
        <v>16.5</v>
      </c>
      <c r="G63" s="549">
        <v>320</v>
      </c>
      <c r="H63" s="4">
        <v>100000</v>
      </c>
      <c r="I63" s="4">
        <v>116000</v>
      </c>
      <c r="J63" s="4">
        <v>200</v>
      </c>
      <c r="K63" s="4">
        <v>166</v>
      </c>
      <c r="L63" s="4">
        <v>0</v>
      </c>
      <c r="M63" s="13">
        <f t="shared" si="8"/>
        <v>0</v>
      </c>
      <c r="N63" s="4">
        <v>17</v>
      </c>
      <c r="O63" s="29">
        <v>73.7</v>
      </c>
      <c r="P63" s="23">
        <f t="shared" si="3"/>
        <v>398.37837837837839</v>
      </c>
      <c r="Q63" s="30">
        <f t="shared" si="5"/>
        <v>1681.9571865443424</v>
      </c>
      <c r="R63" s="4" t="s">
        <v>63</v>
      </c>
      <c r="S63" s="17"/>
    </row>
    <row r="64" spans="1:19" x14ac:dyDescent="0.3">
      <c r="B64" s="2">
        <v>60</v>
      </c>
      <c r="C64" s="43" t="str">
        <f t="shared" si="6"/>
        <v>150 Cu</v>
      </c>
      <c r="D64" s="4">
        <v>150</v>
      </c>
      <c r="E64" s="29">
        <v>15.9</v>
      </c>
      <c r="F64" s="29">
        <v>13.3</v>
      </c>
      <c r="G64" s="549">
        <v>320</v>
      </c>
      <c r="H64" s="4">
        <v>100000</v>
      </c>
      <c r="I64" s="4">
        <v>116000</v>
      </c>
      <c r="J64" s="4">
        <v>200</v>
      </c>
      <c r="K64" s="4">
        <v>166</v>
      </c>
      <c r="L64" s="4">
        <v>0</v>
      </c>
      <c r="M64" s="13">
        <f t="shared" si="8"/>
        <v>0</v>
      </c>
      <c r="N64" s="4">
        <v>17</v>
      </c>
      <c r="O64" s="29">
        <v>60</v>
      </c>
      <c r="P64" s="23">
        <f t="shared" si="3"/>
        <v>400</v>
      </c>
      <c r="Q64" s="30">
        <f t="shared" si="5"/>
        <v>1355.7594291539244</v>
      </c>
      <c r="R64" s="4" t="s">
        <v>63</v>
      </c>
      <c r="S64" s="17"/>
    </row>
    <row r="65" spans="1:19" x14ac:dyDescent="0.3">
      <c r="B65" s="2">
        <v>61</v>
      </c>
      <c r="C65" s="43" t="str">
        <f t="shared" si="6"/>
        <v>120 Cu</v>
      </c>
      <c r="D65" s="4">
        <v>120</v>
      </c>
      <c r="E65" s="29">
        <v>14.2</v>
      </c>
      <c r="F65" s="29">
        <v>10.7</v>
      </c>
      <c r="G65" s="549">
        <v>320</v>
      </c>
      <c r="H65" s="4">
        <v>100000</v>
      </c>
      <c r="I65" s="4">
        <v>116000</v>
      </c>
      <c r="J65" s="4">
        <v>200</v>
      </c>
      <c r="K65" s="4">
        <v>166</v>
      </c>
      <c r="L65" s="4">
        <v>0</v>
      </c>
      <c r="M65" s="13">
        <f t="shared" si="8"/>
        <v>0</v>
      </c>
      <c r="N65" s="4">
        <v>17</v>
      </c>
      <c r="O65" s="29">
        <v>47.9</v>
      </c>
      <c r="P65" s="23">
        <f t="shared" si="3"/>
        <v>399.16666666666669</v>
      </c>
      <c r="Q65" s="30">
        <f t="shared" si="5"/>
        <v>1090.7237512742099</v>
      </c>
      <c r="R65" s="4" t="s">
        <v>63</v>
      </c>
      <c r="S65" s="17"/>
    </row>
    <row r="66" spans="1:19" x14ac:dyDescent="0.3">
      <c r="B66" s="2">
        <v>62</v>
      </c>
      <c r="C66" s="43" t="str">
        <f t="shared" si="6"/>
        <v>95 Cu</v>
      </c>
      <c r="D66" s="4">
        <v>95</v>
      </c>
      <c r="E66" s="29">
        <v>12.6</v>
      </c>
      <c r="F66" s="29">
        <v>8.4499999999999993</v>
      </c>
      <c r="G66" s="549">
        <v>320</v>
      </c>
      <c r="H66" s="4">
        <v>100000</v>
      </c>
      <c r="I66" s="4">
        <v>116000</v>
      </c>
      <c r="J66" s="4">
        <v>200</v>
      </c>
      <c r="K66" s="4">
        <v>166</v>
      </c>
      <c r="L66" s="4">
        <v>0</v>
      </c>
      <c r="M66" s="13">
        <f t="shared" si="8"/>
        <v>0</v>
      </c>
      <c r="N66" s="4">
        <v>17</v>
      </c>
      <c r="O66" s="29">
        <v>37.799999999999997</v>
      </c>
      <c r="P66" s="23">
        <f t="shared" si="3"/>
        <v>397.89473684210526</v>
      </c>
      <c r="Q66" s="30">
        <f t="shared" si="5"/>
        <v>861.36595310907228</v>
      </c>
      <c r="R66" s="4" t="s">
        <v>63</v>
      </c>
      <c r="S66" s="17"/>
    </row>
    <row r="67" spans="1:19" x14ac:dyDescent="0.3">
      <c r="B67" s="2">
        <v>63</v>
      </c>
      <c r="C67" s="43" t="str">
        <f t="shared" si="6"/>
        <v>70 Cu</v>
      </c>
      <c r="D67" s="4">
        <v>70</v>
      </c>
      <c r="E67" s="29">
        <v>10.9</v>
      </c>
      <c r="F67" s="29">
        <v>6.26</v>
      </c>
      <c r="G67" s="549">
        <v>320</v>
      </c>
      <c r="H67" s="4">
        <v>100000</v>
      </c>
      <c r="I67" s="4">
        <v>116000</v>
      </c>
      <c r="J67" s="4">
        <v>200</v>
      </c>
      <c r="K67" s="4">
        <v>166</v>
      </c>
      <c r="L67" s="4">
        <v>0</v>
      </c>
      <c r="M67" s="13">
        <f t="shared" si="8"/>
        <v>0</v>
      </c>
      <c r="N67" s="4">
        <v>17</v>
      </c>
      <c r="O67" s="29">
        <v>28.1</v>
      </c>
      <c r="P67" s="23">
        <f t="shared" si="3"/>
        <v>401.42857142857144</v>
      </c>
      <c r="Q67" s="30">
        <f t="shared" si="5"/>
        <v>638.12436289500511</v>
      </c>
      <c r="R67" s="4" t="s">
        <v>63</v>
      </c>
      <c r="S67" s="17"/>
    </row>
    <row r="68" spans="1:19" x14ac:dyDescent="0.3">
      <c r="B68" s="2">
        <v>64</v>
      </c>
      <c r="C68" s="43" t="str">
        <f t="shared" si="6"/>
        <v>50 Cu</v>
      </c>
      <c r="D68" s="4">
        <v>50</v>
      </c>
      <c r="E68" s="29">
        <v>9.1</v>
      </c>
      <c r="F68" s="29">
        <v>4.4400000000000004</v>
      </c>
      <c r="G68" s="549">
        <v>320</v>
      </c>
      <c r="H68" s="4">
        <v>100000</v>
      </c>
      <c r="I68" s="4">
        <v>116000</v>
      </c>
      <c r="J68" s="4">
        <v>200</v>
      </c>
      <c r="K68" s="4">
        <v>166</v>
      </c>
      <c r="L68" s="4">
        <v>0</v>
      </c>
      <c r="M68" s="13">
        <f t="shared" si="8"/>
        <v>0</v>
      </c>
      <c r="N68" s="4">
        <v>17</v>
      </c>
      <c r="O68" s="29">
        <v>20.100000000000001</v>
      </c>
      <c r="P68" s="23">
        <f t="shared" si="3"/>
        <v>402</v>
      </c>
      <c r="Q68" s="30">
        <f t="shared" si="5"/>
        <v>452.59938837920487</v>
      </c>
      <c r="R68" s="4" t="s">
        <v>63</v>
      </c>
      <c r="S68" s="17"/>
    </row>
    <row r="69" spans="1:19" x14ac:dyDescent="0.3">
      <c r="B69" s="2">
        <v>65</v>
      </c>
      <c r="C69" s="43" t="str">
        <f t="shared" ref="C69:C96" si="9">CONCATENATE(D69," ",R69)</f>
        <v>35 Cu</v>
      </c>
      <c r="D69" s="4">
        <v>35</v>
      </c>
      <c r="E69" s="29">
        <v>7.6</v>
      </c>
      <c r="F69" s="29">
        <v>3.09</v>
      </c>
      <c r="G69" s="549">
        <v>320</v>
      </c>
      <c r="H69" s="4">
        <v>100000</v>
      </c>
      <c r="I69" s="4">
        <v>116000</v>
      </c>
      <c r="J69" s="4">
        <v>200</v>
      </c>
      <c r="K69" s="4">
        <v>166</v>
      </c>
      <c r="L69" s="4">
        <v>0</v>
      </c>
      <c r="M69" s="13">
        <f t="shared" ref="M69:M98" si="10">1000*L69/N69</f>
        <v>0</v>
      </c>
      <c r="N69" s="4">
        <v>17</v>
      </c>
      <c r="O69" s="29">
        <v>13.9</v>
      </c>
      <c r="P69" s="23">
        <f>1000*O69/D69</f>
        <v>397.14285714285717</v>
      </c>
      <c r="Q69" s="30">
        <f t="shared" si="5"/>
        <v>314.98470948012232</v>
      </c>
      <c r="R69" s="4" t="s">
        <v>63</v>
      </c>
      <c r="S69" s="17"/>
    </row>
    <row r="70" spans="1:19" x14ac:dyDescent="0.3">
      <c r="B70" s="2">
        <v>66</v>
      </c>
      <c r="C70" s="43" t="str">
        <f t="shared" si="9"/>
        <v>25 Cu</v>
      </c>
      <c r="D70" s="4">
        <v>25</v>
      </c>
      <c r="E70" s="29">
        <v>6.4</v>
      </c>
      <c r="F70" s="29">
        <v>2.21</v>
      </c>
      <c r="G70" s="549">
        <v>320</v>
      </c>
      <c r="H70" s="4">
        <v>100000</v>
      </c>
      <c r="I70" s="4">
        <v>116000</v>
      </c>
      <c r="J70" s="4">
        <v>200</v>
      </c>
      <c r="K70" s="4">
        <v>166</v>
      </c>
      <c r="L70" s="4">
        <v>0</v>
      </c>
      <c r="M70" s="13">
        <f t="shared" si="10"/>
        <v>0</v>
      </c>
      <c r="N70" s="4">
        <v>17</v>
      </c>
      <c r="O70" s="29">
        <v>10</v>
      </c>
      <c r="P70" s="23">
        <f>1000*O70/D70</f>
        <v>400</v>
      </c>
      <c r="Q70" s="30">
        <f t="shared" si="5"/>
        <v>225.28032619775738</v>
      </c>
      <c r="R70" s="4" t="s">
        <v>63</v>
      </c>
      <c r="S70" s="17"/>
    </row>
    <row r="71" spans="1:19" x14ac:dyDescent="0.3">
      <c r="B71" s="2">
        <v>67</v>
      </c>
      <c r="C71" s="43" t="str">
        <f t="shared" si="9"/>
        <v>16 Cu</v>
      </c>
      <c r="D71" s="4">
        <v>16</v>
      </c>
      <c r="E71" s="29">
        <v>5.0999999999999996</v>
      </c>
      <c r="F71" s="29">
        <v>1.42</v>
      </c>
      <c r="G71" s="549">
        <v>320</v>
      </c>
      <c r="H71" s="4">
        <v>100000</v>
      </c>
      <c r="I71" s="4">
        <v>116000</v>
      </c>
      <c r="J71" s="4">
        <v>200</v>
      </c>
      <c r="K71" s="4">
        <v>166</v>
      </c>
      <c r="L71" s="4">
        <v>0</v>
      </c>
      <c r="M71" s="13">
        <f t="shared" si="10"/>
        <v>0</v>
      </c>
      <c r="N71" s="4">
        <v>17</v>
      </c>
      <c r="O71" s="29">
        <v>6.4</v>
      </c>
      <c r="P71" s="23">
        <f>1000*O71/D71</f>
        <v>400</v>
      </c>
      <c r="Q71" s="30">
        <f t="shared" si="5"/>
        <v>144.75025484199796</v>
      </c>
      <c r="R71" s="4" t="s">
        <v>63</v>
      </c>
      <c r="S71" s="17"/>
    </row>
    <row r="72" spans="1:19" x14ac:dyDescent="0.3">
      <c r="B72" s="2">
        <v>68</v>
      </c>
      <c r="C72" s="43" t="str">
        <f t="shared" si="9"/>
        <v>16 Cu</v>
      </c>
      <c r="D72" s="4">
        <v>16</v>
      </c>
      <c r="E72" s="29">
        <v>4.5</v>
      </c>
      <c r="F72" s="29">
        <v>1.4</v>
      </c>
      <c r="G72" s="549">
        <v>320</v>
      </c>
      <c r="H72" s="4">
        <v>100000</v>
      </c>
      <c r="I72" s="4">
        <v>116000</v>
      </c>
      <c r="J72" s="4">
        <v>200</v>
      </c>
      <c r="K72" s="4">
        <v>166</v>
      </c>
      <c r="L72" s="4">
        <v>0</v>
      </c>
      <c r="M72" s="13">
        <f t="shared" si="10"/>
        <v>0</v>
      </c>
      <c r="N72" s="4">
        <v>17</v>
      </c>
      <c r="O72" s="29">
        <v>6.2</v>
      </c>
      <c r="P72" s="23">
        <f>1000*O72/D72</f>
        <v>387.5</v>
      </c>
      <c r="Q72" s="30">
        <f t="shared" si="5"/>
        <v>142.71151885830784</v>
      </c>
      <c r="R72" s="4" t="s">
        <v>63</v>
      </c>
      <c r="S72" s="17"/>
    </row>
    <row r="73" spans="1:19" x14ac:dyDescent="0.3">
      <c r="B73" s="2">
        <v>69</v>
      </c>
      <c r="C73" s="43" t="str">
        <f t="shared" si="9"/>
        <v>10 Cu</v>
      </c>
      <c r="D73" s="4">
        <v>10</v>
      </c>
      <c r="E73" s="29">
        <v>3.6</v>
      </c>
      <c r="F73" s="29">
        <v>0.88</v>
      </c>
      <c r="G73" s="549">
        <v>320</v>
      </c>
      <c r="H73" s="4">
        <v>100000</v>
      </c>
      <c r="I73" s="4">
        <v>116000</v>
      </c>
      <c r="J73" s="4">
        <v>200</v>
      </c>
      <c r="K73" s="4">
        <v>166</v>
      </c>
      <c r="L73" s="4">
        <v>0</v>
      </c>
      <c r="M73" s="13">
        <f t="shared" si="10"/>
        <v>0</v>
      </c>
      <c r="N73" s="4">
        <v>17</v>
      </c>
      <c r="O73" s="29"/>
      <c r="P73" s="23"/>
      <c r="Q73" s="30">
        <f t="shared" si="5"/>
        <v>89.70438328236493</v>
      </c>
      <c r="R73" s="4" t="s">
        <v>63</v>
      </c>
      <c r="S73" s="17"/>
    </row>
    <row r="74" spans="1:19" x14ac:dyDescent="0.3">
      <c r="A74" s="7" t="s">
        <v>64</v>
      </c>
      <c r="B74" s="8">
        <v>70</v>
      </c>
      <c r="C74" s="42" t="str">
        <f t="shared" si="9"/>
        <v>185 Fe-60</v>
      </c>
      <c r="D74" s="7">
        <v>185</v>
      </c>
      <c r="E74" s="7">
        <v>17.600000000000001</v>
      </c>
      <c r="F74" s="7">
        <v>14.3</v>
      </c>
      <c r="G74" s="11"/>
      <c r="H74" s="7">
        <v>163000</v>
      </c>
      <c r="I74" s="7">
        <v>180000</v>
      </c>
      <c r="J74" s="7">
        <v>330</v>
      </c>
      <c r="K74" s="7">
        <v>0</v>
      </c>
      <c r="L74" s="7">
        <v>0</v>
      </c>
      <c r="M74" s="9">
        <f t="shared" si="10"/>
        <v>0</v>
      </c>
      <c r="N74" s="7">
        <v>11</v>
      </c>
      <c r="O74" s="7"/>
      <c r="P74" s="11"/>
      <c r="Q74" s="9">
        <f t="shared" si="5"/>
        <v>1457.69622833843</v>
      </c>
      <c r="R74" s="7" t="s">
        <v>64</v>
      </c>
      <c r="S74" s="12"/>
    </row>
    <row r="75" spans="1:19" x14ac:dyDescent="0.3">
      <c r="B75" s="2">
        <v>71</v>
      </c>
      <c r="C75" s="43" t="str">
        <f t="shared" si="9"/>
        <v>142 Fe-60</v>
      </c>
      <c r="D75" s="4">
        <v>142</v>
      </c>
      <c r="E75" s="4">
        <v>15.4</v>
      </c>
      <c r="F75" s="4">
        <v>11</v>
      </c>
      <c r="G75" s="15">
        <f>P75*0.55</f>
        <v>325.35211267605638</v>
      </c>
      <c r="H75" s="4">
        <v>163000</v>
      </c>
      <c r="I75" s="4">
        <v>180000</v>
      </c>
      <c r="J75" s="4">
        <v>330</v>
      </c>
      <c r="K75" s="4">
        <v>0</v>
      </c>
      <c r="L75" s="4">
        <v>0</v>
      </c>
      <c r="M75" s="13">
        <f t="shared" si="10"/>
        <v>0</v>
      </c>
      <c r="N75" s="4">
        <v>11</v>
      </c>
      <c r="O75" s="14">
        <v>84</v>
      </c>
      <c r="P75" s="15">
        <f>1000*O75/D75</f>
        <v>591.54929577464793</v>
      </c>
      <c r="Q75" s="16">
        <f t="shared" si="5"/>
        <v>1121.3047910295616</v>
      </c>
      <c r="R75" s="4" t="s">
        <v>64</v>
      </c>
      <c r="S75" s="17"/>
    </row>
    <row r="76" spans="1:19" x14ac:dyDescent="0.3">
      <c r="B76" s="2">
        <v>72</v>
      </c>
      <c r="C76" s="43" t="str">
        <f t="shared" si="9"/>
        <v>105 Fe-60</v>
      </c>
      <c r="D76" s="4">
        <v>105</v>
      </c>
      <c r="E76" s="4">
        <v>13.1</v>
      </c>
      <c r="F76" s="4">
        <v>8.0500000000000007</v>
      </c>
      <c r="G76" s="15"/>
      <c r="H76" s="4">
        <v>163000</v>
      </c>
      <c r="I76" s="4">
        <v>180000</v>
      </c>
      <c r="J76" s="4">
        <v>330</v>
      </c>
      <c r="K76" s="4">
        <v>0</v>
      </c>
      <c r="L76" s="4">
        <v>0</v>
      </c>
      <c r="M76" s="13">
        <f t="shared" si="10"/>
        <v>0</v>
      </c>
      <c r="N76" s="4">
        <v>11</v>
      </c>
      <c r="P76" s="15"/>
      <c r="Q76" s="16">
        <f t="shared" si="5"/>
        <v>820.59123343527017</v>
      </c>
      <c r="R76" s="4" t="s">
        <v>64</v>
      </c>
      <c r="S76" s="17"/>
    </row>
    <row r="77" spans="1:19" s="35" customFormat="1" x14ac:dyDescent="0.3">
      <c r="A77" s="31"/>
      <c r="B77" s="2">
        <v>73</v>
      </c>
      <c r="C77" s="43" t="str">
        <f t="shared" si="9"/>
        <v>95 Fe-60</v>
      </c>
      <c r="D77" s="5">
        <v>95</v>
      </c>
      <c r="E77" s="5">
        <v>12.75</v>
      </c>
      <c r="F77" s="32">
        <f>Q77*9.81/1000</f>
        <v>7.553700000000001</v>
      </c>
      <c r="G77" s="15">
        <f>P77*0.55</f>
        <v>330</v>
      </c>
      <c r="H77" s="5">
        <v>163000</v>
      </c>
      <c r="I77" s="5">
        <v>180000</v>
      </c>
      <c r="J77" s="5">
        <v>330</v>
      </c>
      <c r="K77" s="5">
        <v>0</v>
      </c>
      <c r="L77" s="5">
        <v>0</v>
      </c>
      <c r="M77" s="13">
        <f t="shared" si="10"/>
        <v>0</v>
      </c>
      <c r="N77" s="5">
        <v>11</v>
      </c>
      <c r="O77" s="14">
        <v>57</v>
      </c>
      <c r="P77" s="15">
        <f>1000*O77/D77</f>
        <v>600</v>
      </c>
      <c r="Q77" s="33">
        <v>770</v>
      </c>
      <c r="R77" s="5" t="s">
        <v>64</v>
      </c>
      <c r="S77" s="34"/>
    </row>
    <row r="78" spans="1:19" x14ac:dyDescent="0.3">
      <c r="B78" s="2">
        <v>74</v>
      </c>
      <c r="C78" s="43" t="str">
        <f t="shared" si="9"/>
        <v>89 Fe-60</v>
      </c>
      <c r="D78" s="4">
        <v>89</v>
      </c>
      <c r="E78" s="4">
        <v>12.1</v>
      </c>
      <c r="F78" s="4">
        <v>6.85</v>
      </c>
      <c r="G78" s="15"/>
      <c r="H78" s="4">
        <v>163000</v>
      </c>
      <c r="I78" s="4">
        <v>180000</v>
      </c>
      <c r="J78" s="4">
        <v>330</v>
      </c>
      <c r="K78" s="4">
        <v>0</v>
      </c>
      <c r="L78" s="4">
        <v>0</v>
      </c>
      <c r="M78" s="13">
        <f t="shared" si="10"/>
        <v>0</v>
      </c>
      <c r="N78" s="4">
        <v>11</v>
      </c>
      <c r="P78" s="15"/>
      <c r="Q78" s="16">
        <f>1000*F78/9.81</f>
        <v>698.26707441386338</v>
      </c>
      <c r="R78" s="4" t="s">
        <v>64</v>
      </c>
      <c r="S78" s="17"/>
    </row>
    <row r="79" spans="1:19" x14ac:dyDescent="0.3">
      <c r="B79" s="2">
        <v>75</v>
      </c>
      <c r="C79" s="43" t="str">
        <f t="shared" si="9"/>
        <v>68 Fe-60</v>
      </c>
      <c r="D79" s="4">
        <v>68</v>
      </c>
      <c r="E79" s="4">
        <v>10.6</v>
      </c>
      <c r="F79" s="4">
        <v>5.25</v>
      </c>
      <c r="G79" s="15"/>
      <c r="H79" s="4">
        <v>163000</v>
      </c>
      <c r="I79" s="4">
        <v>180000</v>
      </c>
      <c r="J79" s="4">
        <v>330</v>
      </c>
      <c r="K79" s="4">
        <v>0</v>
      </c>
      <c r="L79" s="4">
        <v>0</v>
      </c>
      <c r="M79" s="13">
        <f t="shared" si="10"/>
        <v>0</v>
      </c>
      <c r="N79" s="4">
        <v>11</v>
      </c>
      <c r="P79" s="15"/>
      <c r="Q79" s="16">
        <f>1000*F79/9.81</f>
        <v>535.16819571865437</v>
      </c>
      <c r="R79" s="4" t="s">
        <v>64</v>
      </c>
      <c r="S79" s="17"/>
    </row>
    <row r="80" spans="1:19" x14ac:dyDescent="0.3">
      <c r="B80" s="2">
        <v>76</v>
      </c>
      <c r="C80" s="43" t="str">
        <f t="shared" si="9"/>
        <v>52 Fe-60</v>
      </c>
      <c r="D80" s="4">
        <v>52</v>
      </c>
      <c r="E80" s="4">
        <v>9.1999999999999993</v>
      </c>
      <c r="F80" s="4">
        <v>4.01</v>
      </c>
      <c r="G80" s="15">
        <f t="shared" ref="G80:G95" si="11">P80*0.55</f>
        <v>324.71153846153845</v>
      </c>
      <c r="H80" s="4">
        <v>163000</v>
      </c>
      <c r="I80" s="4">
        <v>180000</v>
      </c>
      <c r="J80" s="4">
        <v>330</v>
      </c>
      <c r="K80" s="4">
        <v>0</v>
      </c>
      <c r="L80" s="4">
        <v>0</v>
      </c>
      <c r="M80" s="13">
        <f t="shared" si="10"/>
        <v>0</v>
      </c>
      <c r="N80" s="4">
        <v>11</v>
      </c>
      <c r="O80" s="4">
        <v>30.7</v>
      </c>
      <c r="P80" s="15">
        <f t="shared" ref="P80:P95" si="12">1000*O80/D80</f>
        <v>590.38461538461536</v>
      </c>
      <c r="Q80" s="16">
        <f>1000*F80/9.81</f>
        <v>408.76656472986747</v>
      </c>
      <c r="R80" s="4" t="s">
        <v>64</v>
      </c>
      <c r="S80" s="17"/>
    </row>
    <row r="81" spans="1:19" s="35" customFormat="1" x14ac:dyDescent="0.3">
      <c r="A81" s="31"/>
      <c r="B81" s="2">
        <v>77</v>
      </c>
      <c r="C81" s="43" t="str">
        <f t="shared" si="9"/>
        <v>50 Fe-60</v>
      </c>
      <c r="D81" s="5">
        <v>50</v>
      </c>
      <c r="E81" s="5">
        <v>9.9</v>
      </c>
      <c r="F81" s="32">
        <f>Q81*9.81/1000</f>
        <v>3.8749500000000001</v>
      </c>
      <c r="G81" s="15">
        <f t="shared" si="11"/>
        <v>323.40000000000003</v>
      </c>
      <c r="H81" s="5">
        <v>163000</v>
      </c>
      <c r="I81" s="5">
        <v>180000</v>
      </c>
      <c r="J81" s="5">
        <v>330</v>
      </c>
      <c r="K81" s="5">
        <v>0</v>
      </c>
      <c r="L81" s="5">
        <v>0</v>
      </c>
      <c r="M81" s="13">
        <f t="shared" si="10"/>
        <v>0</v>
      </c>
      <c r="N81" s="5">
        <v>11</v>
      </c>
      <c r="O81" s="5">
        <v>29.4</v>
      </c>
      <c r="P81" s="15">
        <f t="shared" si="12"/>
        <v>588</v>
      </c>
      <c r="Q81" s="33">
        <v>395</v>
      </c>
      <c r="R81" s="5" t="s">
        <v>64</v>
      </c>
      <c r="S81" s="34"/>
    </row>
    <row r="82" spans="1:19" x14ac:dyDescent="0.3">
      <c r="B82" s="2">
        <v>78</v>
      </c>
      <c r="C82" s="43" t="str">
        <f t="shared" si="9"/>
        <v>33 Fe-60</v>
      </c>
      <c r="D82" s="4">
        <v>33</v>
      </c>
      <c r="E82" s="4">
        <v>7.3</v>
      </c>
      <c r="F82" s="4">
        <v>2.52</v>
      </c>
      <c r="G82" s="15">
        <f t="shared" si="11"/>
        <v>321.66666666666669</v>
      </c>
      <c r="H82" s="4">
        <v>163000</v>
      </c>
      <c r="I82" s="4">
        <v>180000</v>
      </c>
      <c r="J82" s="4">
        <v>330</v>
      </c>
      <c r="K82" s="4">
        <v>0</v>
      </c>
      <c r="L82" s="4">
        <v>0</v>
      </c>
      <c r="M82" s="13">
        <f t="shared" si="10"/>
        <v>0</v>
      </c>
      <c r="N82" s="4">
        <v>11</v>
      </c>
      <c r="O82" s="14">
        <v>19.3</v>
      </c>
      <c r="P82" s="15">
        <f t="shared" si="12"/>
        <v>584.84848484848487</v>
      </c>
      <c r="Q82" s="16">
        <f>1000*F82/9.81</f>
        <v>256.8807339449541</v>
      </c>
      <c r="R82" s="4" t="s">
        <v>64</v>
      </c>
      <c r="S82" s="17"/>
    </row>
    <row r="83" spans="1:19" x14ac:dyDescent="0.3">
      <c r="B83" s="2">
        <v>79</v>
      </c>
      <c r="C83" s="43" t="str">
        <f t="shared" si="9"/>
        <v>25 Fe-60</v>
      </c>
      <c r="D83" s="4">
        <v>25</v>
      </c>
      <c r="E83" s="4">
        <v>6.4</v>
      </c>
      <c r="F83" s="4">
        <v>1.9</v>
      </c>
      <c r="G83" s="15">
        <f t="shared" si="11"/>
        <v>321.20000000000005</v>
      </c>
      <c r="H83" s="4">
        <v>163000</v>
      </c>
      <c r="I83" s="4">
        <v>180000</v>
      </c>
      <c r="J83" s="4">
        <v>330</v>
      </c>
      <c r="K83" s="4">
        <v>0</v>
      </c>
      <c r="L83" s="4">
        <v>0</v>
      </c>
      <c r="M83" s="13">
        <f t="shared" si="10"/>
        <v>0</v>
      </c>
      <c r="N83" s="4">
        <v>11</v>
      </c>
      <c r="O83" s="4">
        <v>14.6</v>
      </c>
      <c r="P83" s="15">
        <f t="shared" si="12"/>
        <v>584</v>
      </c>
      <c r="Q83" s="16">
        <f>1000*F83/9.81</f>
        <v>193.67991845056065</v>
      </c>
      <c r="R83" s="4" t="s">
        <v>64</v>
      </c>
      <c r="S83" s="17"/>
    </row>
    <row r="84" spans="1:19" x14ac:dyDescent="0.3">
      <c r="B84" s="2">
        <v>80</v>
      </c>
      <c r="C84" s="43" t="str">
        <f t="shared" si="9"/>
        <v>16 Fe-60</v>
      </c>
      <c r="D84" s="4">
        <v>16</v>
      </c>
      <c r="E84" s="4">
        <v>5.6</v>
      </c>
      <c r="F84" s="4">
        <v>1.23</v>
      </c>
      <c r="G84" s="15">
        <f t="shared" si="11"/>
        <v>322.78125</v>
      </c>
      <c r="H84" s="4">
        <v>163000</v>
      </c>
      <c r="I84" s="4">
        <v>180000</v>
      </c>
      <c r="J84" s="4">
        <v>330</v>
      </c>
      <c r="K84" s="4">
        <v>0</v>
      </c>
      <c r="L84" s="4">
        <v>0</v>
      </c>
      <c r="M84" s="13">
        <f t="shared" si="10"/>
        <v>0</v>
      </c>
      <c r="N84" s="4">
        <v>11</v>
      </c>
      <c r="O84" s="14">
        <v>9.39</v>
      </c>
      <c r="P84" s="15">
        <f t="shared" si="12"/>
        <v>586.875</v>
      </c>
      <c r="Q84" s="16">
        <f>1000*F84/9.81</f>
        <v>125.38226299694189</v>
      </c>
      <c r="R84" s="4" t="s">
        <v>64</v>
      </c>
      <c r="S84" s="17"/>
    </row>
    <row r="85" spans="1:19" x14ac:dyDescent="0.3">
      <c r="A85" s="7" t="s">
        <v>65</v>
      </c>
      <c r="B85" s="8">
        <v>81</v>
      </c>
      <c r="C85" s="42" t="str">
        <f t="shared" si="9"/>
        <v>284 Fe-140</v>
      </c>
      <c r="D85" s="36">
        <v>284</v>
      </c>
      <c r="E85" s="36">
        <v>21.8</v>
      </c>
      <c r="F85" s="37">
        <f>Q85*9.81/1000</f>
        <v>21.974400000000003</v>
      </c>
      <c r="G85" s="11">
        <f t="shared" si="11"/>
        <v>755.28169014084517</v>
      </c>
      <c r="H85" s="36">
        <v>180000</v>
      </c>
      <c r="I85" s="36">
        <v>180000</v>
      </c>
      <c r="J85" s="36">
        <v>770</v>
      </c>
      <c r="K85" s="36">
        <v>0</v>
      </c>
      <c r="L85" s="36">
        <v>0</v>
      </c>
      <c r="M85" s="9">
        <f t="shared" si="10"/>
        <v>0</v>
      </c>
      <c r="N85" s="36">
        <v>11</v>
      </c>
      <c r="O85" s="10">
        <v>390</v>
      </c>
      <c r="P85" s="11">
        <f t="shared" si="12"/>
        <v>1373.2394366197184</v>
      </c>
      <c r="Q85" s="38">
        <v>2240</v>
      </c>
      <c r="R85" s="36" t="s">
        <v>65</v>
      </c>
      <c r="S85" s="12"/>
    </row>
    <row r="86" spans="1:19" x14ac:dyDescent="0.3">
      <c r="B86" s="2">
        <v>82</v>
      </c>
      <c r="C86" s="43" t="str">
        <f t="shared" si="9"/>
        <v>260 Fe-140</v>
      </c>
      <c r="D86" s="5">
        <v>260</v>
      </c>
      <c r="E86" s="5">
        <v>21.1</v>
      </c>
      <c r="F86" s="32">
        <f>Q86*9.81/1000</f>
        <v>20.404799999999998</v>
      </c>
      <c r="G86" s="15">
        <f t="shared" si="11"/>
        <v>755.19230769230774</v>
      </c>
      <c r="H86" s="5">
        <v>180000</v>
      </c>
      <c r="I86" s="5">
        <v>180000</v>
      </c>
      <c r="J86" s="5">
        <v>770</v>
      </c>
      <c r="K86" s="5">
        <v>0</v>
      </c>
      <c r="L86" s="5">
        <v>0</v>
      </c>
      <c r="M86" s="13">
        <f t="shared" si="10"/>
        <v>0</v>
      </c>
      <c r="N86" s="5">
        <v>11</v>
      </c>
      <c r="O86" s="14">
        <v>357</v>
      </c>
      <c r="P86" s="15">
        <f t="shared" si="12"/>
        <v>1373.0769230769231</v>
      </c>
      <c r="Q86" s="33">
        <v>2080</v>
      </c>
      <c r="R86" s="5" t="s">
        <v>65</v>
      </c>
      <c r="S86" s="17"/>
    </row>
    <row r="87" spans="1:19" x14ac:dyDescent="0.3">
      <c r="A87" s="25"/>
      <c r="B87" s="2">
        <v>83</v>
      </c>
      <c r="C87" s="43" t="str">
        <f t="shared" si="9"/>
        <v>241 Fe-140</v>
      </c>
      <c r="D87" s="39">
        <v>241</v>
      </c>
      <c r="E87" s="39">
        <v>20.100000000000001</v>
      </c>
      <c r="F87" s="32">
        <f>Q87*9.81/1000</f>
        <v>18.737100000000002</v>
      </c>
      <c r="G87" s="15">
        <f t="shared" si="11"/>
        <v>755.39419087136946</v>
      </c>
      <c r="H87" s="5">
        <v>180000</v>
      </c>
      <c r="I87" s="5">
        <v>180000</v>
      </c>
      <c r="J87" s="5">
        <v>770</v>
      </c>
      <c r="K87" s="5">
        <v>0</v>
      </c>
      <c r="L87" s="5">
        <v>0</v>
      </c>
      <c r="M87" s="13">
        <f t="shared" si="10"/>
        <v>0</v>
      </c>
      <c r="N87" s="5">
        <v>11</v>
      </c>
      <c r="O87" s="40">
        <v>331</v>
      </c>
      <c r="P87" s="15">
        <f t="shared" si="12"/>
        <v>1373.4439834024897</v>
      </c>
      <c r="Q87" s="33">
        <v>1910</v>
      </c>
      <c r="R87" s="5" t="s">
        <v>65</v>
      </c>
      <c r="S87" s="17"/>
    </row>
    <row r="88" spans="1:19" x14ac:dyDescent="0.3">
      <c r="B88" s="2">
        <v>84</v>
      </c>
      <c r="C88" s="43" t="str">
        <f t="shared" si="9"/>
        <v>185 Fe-140</v>
      </c>
      <c r="D88" s="25">
        <v>185</v>
      </c>
      <c r="E88" s="25">
        <v>17.600000000000001</v>
      </c>
      <c r="F88" s="25">
        <v>14.3</v>
      </c>
      <c r="G88" s="15">
        <f t="shared" si="11"/>
        <v>752.16216216216219</v>
      </c>
      <c r="H88" s="25">
        <v>180000</v>
      </c>
      <c r="I88" s="25">
        <v>180000</v>
      </c>
      <c r="J88" s="25">
        <v>770</v>
      </c>
      <c r="K88" s="25">
        <v>0</v>
      </c>
      <c r="L88" s="25">
        <v>0</v>
      </c>
      <c r="M88" s="13">
        <f t="shared" si="10"/>
        <v>0</v>
      </c>
      <c r="N88" s="25">
        <v>11</v>
      </c>
      <c r="O88" s="25">
        <v>253</v>
      </c>
      <c r="P88" s="15">
        <f t="shared" si="12"/>
        <v>1367.5675675675675</v>
      </c>
      <c r="Q88" s="16">
        <f t="shared" ref="Q88:Q97" si="13">1000*F88/9.81</f>
        <v>1457.69622833843</v>
      </c>
      <c r="R88" s="25" t="s">
        <v>65</v>
      </c>
      <c r="S88" s="17"/>
    </row>
    <row r="89" spans="1:19" x14ac:dyDescent="0.3">
      <c r="B89" s="2">
        <v>85</v>
      </c>
      <c r="C89" s="43" t="str">
        <f t="shared" si="9"/>
        <v>142 Fe-140</v>
      </c>
      <c r="D89" s="4">
        <v>142</v>
      </c>
      <c r="E89" s="4">
        <v>15.4</v>
      </c>
      <c r="F89" s="4">
        <v>11</v>
      </c>
      <c r="G89" s="15">
        <f t="shared" si="11"/>
        <v>751.4084507042254</v>
      </c>
      <c r="H89" s="4">
        <v>180000</v>
      </c>
      <c r="I89" s="4">
        <v>180000</v>
      </c>
      <c r="J89" s="4">
        <v>770</v>
      </c>
      <c r="K89" s="4">
        <v>0</v>
      </c>
      <c r="L89" s="4">
        <v>0</v>
      </c>
      <c r="M89" s="13">
        <f t="shared" si="10"/>
        <v>0</v>
      </c>
      <c r="N89" s="4">
        <v>11</v>
      </c>
      <c r="O89" s="4">
        <v>194</v>
      </c>
      <c r="P89" s="15">
        <f t="shared" si="12"/>
        <v>1366.1971830985915</v>
      </c>
      <c r="Q89" s="16">
        <f t="shared" si="13"/>
        <v>1121.3047910295616</v>
      </c>
      <c r="R89" s="4" t="s">
        <v>65</v>
      </c>
      <c r="S89" s="17"/>
    </row>
    <row r="90" spans="1:19" x14ac:dyDescent="0.3">
      <c r="B90" s="2">
        <v>86</v>
      </c>
      <c r="C90" s="43" t="str">
        <f t="shared" si="9"/>
        <v>105 Fe-140</v>
      </c>
      <c r="D90" s="4">
        <v>105</v>
      </c>
      <c r="E90" s="4">
        <v>13.1</v>
      </c>
      <c r="F90" s="4">
        <v>8.0500000000000007</v>
      </c>
      <c r="G90" s="15">
        <f t="shared" si="11"/>
        <v>749.04761904761915</v>
      </c>
      <c r="H90" s="4">
        <v>180000</v>
      </c>
      <c r="I90" s="4">
        <v>180000</v>
      </c>
      <c r="J90" s="4">
        <v>770</v>
      </c>
      <c r="K90" s="4">
        <v>0</v>
      </c>
      <c r="L90" s="4">
        <v>0</v>
      </c>
      <c r="M90" s="13">
        <f t="shared" si="10"/>
        <v>0</v>
      </c>
      <c r="N90" s="4">
        <v>11</v>
      </c>
      <c r="O90" s="4">
        <v>143</v>
      </c>
      <c r="P90" s="15">
        <f t="shared" si="12"/>
        <v>1361.9047619047619</v>
      </c>
      <c r="Q90" s="16">
        <f t="shared" si="13"/>
        <v>820.59123343527017</v>
      </c>
      <c r="R90" s="4" t="s">
        <v>65</v>
      </c>
      <c r="S90" s="17"/>
    </row>
    <row r="91" spans="1:19" x14ac:dyDescent="0.3">
      <c r="B91" s="2">
        <v>87</v>
      </c>
      <c r="C91" s="43" t="str">
        <f t="shared" si="9"/>
        <v>89 Fe-140</v>
      </c>
      <c r="D91" s="4">
        <v>89</v>
      </c>
      <c r="E91" s="4">
        <v>12.1</v>
      </c>
      <c r="F91" s="4">
        <v>6.85</v>
      </c>
      <c r="G91" s="15">
        <f t="shared" si="11"/>
        <v>753.93258426966304</v>
      </c>
      <c r="H91" s="4">
        <v>180000</v>
      </c>
      <c r="I91" s="4">
        <v>180000</v>
      </c>
      <c r="J91" s="4">
        <v>770</v>
      </c>
      <c r="K91" s="4">
        <v>0</v>
      </c>
      <c r="L91" s="4">
        <v>0</v>
      </c>
      <c r="M91" s="13">
        <f t="shared" si="10"/>
        <v>0</v>
      </c>
      <c r="N91" s="4">
        <v>11</v>
      </c>
      <c r="O91" s="4">
        <v>122</v>
      </c>
      <c r="P91" s="15">
        <f t="shared" si="12"/>
        <v>1370.7865168539327</v>
      </c>
      <c r="Q91" s="16">
        <f t="shared" si="13"/>
        <v>698.26707441386338</v>
      </c>
      <c r="R91" s="4" t="s">
        <v>65</v>
      </c>
      <c r="S91" s="17"/>
    </row>
    <row r="92" spans="1:19" x14ac:dyDescent="0.3">
      <c r="B92" s="2">
        <v>88</v>
      </c>
      <c r="C92" s="43" t="str">
        <f t="shared" si="9"/>
        <v>68 Fe-140</v>
      </c>
      <c r="D92" s="4">
        <v>68</v>
      </c>
      <c r="E92" s="4">
        <v>10.6</v>
      </c>
      <c r="F92" s="4">
        <v>5.25</v>
      </c>
      <c r="G92" s="15">
        <f t="shared" si="11"/>
        <v>753.01470588235293</v>
      </c>
      <c r="H92" s="4">
        <v>180000</v>
      </c>
      <c r="I92" s="4">
        <v>180000</v>
      </c>
      <c r="J92" s="4">
        <v>770</v>
      </c>
      <c r="K92" s="4">
        <v>0</v>
      </c>
      <c r="L92" s="4">
        <v>0</v>
      </c>
      <c r="M92" s="13">
        <f t="shared" si="10"/>
        <v>0</v>
      </c>
      <c r="N92" s="4">
        <v>11</v>
      </c>
      <c r="O92" s="4">
        <v>93.1</v>
      </c>
      <c r="P92" s="15">
        <f t="shared" si="12"/>
        <v>1369.1176470588234</v>
      </c>
      <c r="Q92" s="16">
        <f t="shared" si="13"/>
        <v>535.16819571865437</v>
      </c>
      <c r="R92" s="4" t="s">
        <v>65</v>
      </c>
      <c r="S92" s="17"/>
    </row>
    <row r="93" spans="1:19" x14ac:dyDescent="0.3">
      <c r="B93" s="2">
        <v>89</v>
      </c>
      <c r="C93" s="43" t="str">
        <f t="shared" si="9"/>
        <v>52 Fe-140</v>
      </c>
      <c r="D93" s="4">
        <v>52</v>
      </c>
      <c r="E93" s="4">
        <v>9.1999999999999993</v>
      </c>
      <c r="F93" s="4">
        <v>4.01</v>
      </c>
      <c r="G93" s="15">
        <f t="shared" si="11"/>
        <v>755.19230769230774</v>
      </c>
      <c r="H93" s="4">
        <v>180000</v>
      </c>
      <c r="I93" s="4">
        <v>180000</v>
      </c>
      <c r="J93" s="4">
        <v>770</v>
      </c>
      <c r="K93" s="4">
        <v>0</v>
      </c>
      <c r="L93" s="4">
        <v>0</v>
      </c>
      <c r="M93" s="13">
        <f t="shared" si="10"/>
        <v>0</v>
      </c>
      <c r="N93" s="4">
        <v>11</v>
      </c>
      <c r="O93" s="4">
        <v>71.400000000000006</v>
      </c>
      <c r="P93" s="15">
        <f t="shared" si="12"/>
        <v>1373.0769230769231</v>
      </c>
      <c r="Q93" s="16">
        <f t="shared" si="13"/>
        <v>408.76656472986747</v>
      </c>
      <c r="R93" s="4" t="s">
        <v>65</v>
      </c>
      <c r="S93" s="17"/>
    </row>
    <row r="94" spans="1:19" x14ac:dyDescent="0.3">
      <c r="B94" s="2">
        <v>90</v>
      </c>
      <c r="C94" s="43" t="str">
        <f t="shared" si="9"/>
        <v>33 Fe-140</v>
      </c>
      <c r="D94" s="4">
        <v>33</v>
      </c>
      <c r="E94" s="4">
        <v>7.3</v>
      </c>
      <c r="F94" s="4">
        <v>2.52</v>
      </c>
      <c r="G94" s="15">
        <f t="shared" si="11"/>
        <v>748.33333333333337</v>
      </c>
      <c r="H94" s="4">
        <v>180000</v>
      </c>
      <c r="I94" s="4">
        <v>180000</v>
      </c>
      <c r="J94" s="4">
        <v>770</v>
      </c>
      <c r="K94" s="4">
        <v>0</v>
      </c>
      <c r="L94" s="4">
        <v>0</v>
      </c>
      <c r="M94" s="13">
        <f t="shared" si="10"/>
        <v>0</v>
      </c>
      <c r="N94" s="4">
        <v>11</v>
      </c>
      <c r="O94" s="4">
        <v>44.9</v>
      </c>
      <c r="P94" s="15">
        <f t="shared" si="12"/>
        <v>1360.6060606060605</v>
      </c>
      <c r="Q94" s="16">
        <f t="shared" si="13"/>
        <v>256.8807339449541</v>
      </c>
      <c r="R94" s="4" t="s">
        <v>65</v>
      </c>
      <c r="S94" s="17"/>
    </row>
    <row r="95" spans="1:19" x14ac:dyDescent="0.3">
      <c r="B95" s="2">
        <v>91</v>
      </c>
      <c r="C95" s="43" t="str">
        <f t="shared" si="9"/>
        <v>25 Fe-140</v>
      </c>
      <c r="D95" s="4">
        <v>25</v>
      </c>
      <c r="E95" s="4">
        <v>6.4</v>
      </c>
      <c r="F95" s="4">
        <v>1.9</v>
      </c>
      <c r="G95" s="15">
        <f t="shared" si="11"/>
        <v>745.80000000000007</v>
      </c>
      <c r="H95" s="4">
        <v>180000</v>
      </c>
      <c r="I95" s="4">
        <v>180000</v>
      </c>
      <c r="J95" s="4">
        <v>770</v>
      </c>
      <c r="K95" s="4">
        <v>0</v>
      </c>
      <c r="L95" s="4">
        <v>0</v>
      </c>
      <c r="M95" s="13">
        <f t="shared" si="10"/>
        <v>0</v>
      </c>
      <c r="N95" s="4">
        <v>11</v>
      </c>
      <c r="O95" s="4">
        <v>33.9</v>
      </c>
      <c r="P95" s="15">
        <f t="shared" si="12"/>
        <v>1356</v>
      </c>
      <c r="Q95" s="16">
        <f t="shared" si="13"/>
        <v>193.67991845056065</v>
      </c>
      <c r="R95" s="4" t="s">
        <v>65</v>
      </c>
      <c r="S95" s="17"/>
    </row>
    <row r="96" spans="1:19" x14ac:dyDescent="0.3">
      <c r="B96" s="2">
        <v>92</v>
      </c>
      <c r="C96" s="43" t="str">
        <f t="shared" si="9"/>
        <v>16 Fe-140</v>
      </c>
      <c r="D96" s="4">
        <v>16</v>
      </c>
      <c r="E96" s="4">
        <v>5.6</v>
      </c>
      <c r="F96" s="4">
        <v>1.23</v>
      </c>
      <c r="G96" s="15"/>
      <c r="H96" s="4">
        <v>180000</v>
      </c>
      <c r="I96" s="4">
        <v>180000</v>
      </c>
      <c r="J96" s="4">
        <v>770</v>
      </c>
      <c r="K96" s="4">
        <v>0</v>
      </c>
      <c r="L96" s="4">
        <v>0</v>
      </c>
      <c r="M96" s="13">
        <f t="shared" si="10"/>
        <v>0</v>
      </c>
      <c r="N96" s="4">
        <v>11</v>
      </c>
      <c r="P96" s="15"/>
      <c r="Q96" s="16">
        <f t="shared" si="13"/>
        <v>125.38226299694189</v>
      </c>
      <c r="R96" s="4" t="s">
        <v>65</v>
      </c>
      <c r="S96" s="17"/>
    </row>
    <row r="97" spans="1:20" x14ac:dyDescent="0.3">
      <c r="A97" s="7" t="s">
        <v>332</v>
      </c>
      <c r="B97" s="8">
        <v>93</v>
      </c>
      <c r="C97" s="42" t="s">
        <v>334</v>
      </c>
      <c r="D97" s="7">
        <v>116</v>
      </c>
      <c r="E97" s="7">
        <v>14.9</v>
      </c>
      <c r="F97" s="7">
        <v>5.37</v>
      </c>
      <c r="G97" s="11">
        <f>P97*0.55</f>
        <v>357.02586206896558</v>
      </c>
      <c r="H97" s="7">
        <v>91000</v>
      </c>
      <c r="I97" s="7">
        <v>97000</v>
      </c>
      <c r="J97" s="7">
        <v>180</v>
      </c>
      <c r="K97" s="7">
        <v>40</v>
      </c>
      <c r="L97" s="7">
        <v>0.4</v>
      </c>
      <c r="M97" s="9">
        <f t="shared" si="10"/>
        <v>23.529411764705884</v>
      </c>
      <c r="N97" s="309">
        <v>17</v>
      </c>
      <c r="O97" s="7">
        <v>75.3</v>
      </c>
      <c r="P97" s="11">
        <f>1000*O97/D97</f>
        <v>649.13793103448279</v>
      </c>
      <c r="Q97" s="9">
        <f t="shared" si="13"/>
        <v>547.40061162079508</v>
      </c>
      <c r="R97" s="309" t="s">
        <v>333</v>
      </c>
      <c r="S97" s="12"/>
      <c r="T97" s="12"/>
    </row>
    <row r="98" spans="1:20" x14ac:dyDescent="0.3">
      <c r="B98" s="2">
        <v>94</v>
      </c>
      <c r="C98" s="43" t="s">
        <v>335</v>
      </c>
      <c r="D98" s="4">
        <v>124</v>
      </c>
      <c r="E98" s="4">
        <v>14.9</v>
      </c>
      <c r="F98" s="4">
        <v>5.38</v>
      </c>
      <c r="G98" s="310">
        <f>P98*0.55</f>
        <v>344.63709677419359</v>
      </c>
      <c r="H98" s="4">
        <v>89000</v>
      </c>
      <c r="I98" s="4">
        <v>95000</v>
      </c>
      <c r="J98" s="4">
        <v>180</v>
      </c>
      <c r="K98" s="4">
        <v>40</v>
      </c>
      <c r="L98" s="4">
        <v>0.4</v>
      </c>
      <c r="M98" s="13">
        <f t="shared" si="10"/>
        <v>23.529411764705884</v>
      </c>
      <c r="N98" s="311">
        <v>17</v>
      </c>
      <c r="O98" s="4">
        <v>77.7</v>
      </c>
      <c r="P98" s="15">
        <f>1000*O98/D98</f>
        <v>626.61290322580646</v>
      </c>
      <c r="Q98" s="16">
        <f>1000*F98/9.81</f>
        <v>548.41997961264019</v>
      </c>
      <c r="R98" s="311" t="s">
        <v>333</v>
      </c>
      <c r="S98" s="17"/>
      <c r="T98" s="17"/>
    </row>
    <row r="99" spans="1:20" x14ac:dyDescent="0.3">
      <c r="B99" s="2">
        <v>95</v>
      </c>
      <c r="C99" s="43" t="str">
        <f t="shared" ref="C99:C108" si="14">CONCATENATE(D99," ",E99)</f>
        <v xml:space="preserve"> </v>
      </c>
      <c r="N99" s="39"/>
      <c r="P99" s="39"/>
      <c r="Q99" s="39"/>
      <c r="R99" s="39"/>
      <c r="S99" s="17"/>
      <c r="T99" s="17"/>
    </row>
    <row r="100" spans="1:20" x14ac:dyDescent="0.3">
      <c r="B100" s="2">
        <v>96</v>
      </c>
      <c r="C100" s="43" t="str">
        <f t="shared" si="14"/>
        <v xml:space="preserve"> </v>
      </c>
      <c r="N100" s="39"/>
      <c r="P100" s="39"/>
      <c r="Q100" s="39"/>
      <c r="R100" s="39"/>
      <c r="S100" s="17"/>
      <c r="T100" s="17"/>
    </row>
    <row r="101" spans="1:20" x14ac:dyDescent="0.3">
      <c r="B101" s="2">
        <v>97</v>
      </c>
      <c r="C101" s="43" t="str">
        <f t="shared" si="14"/>
        <v xml:space="preserve"> </v>
      </c>
      <c r="N101" s="39"/>
      <c r="P101" s="39"/>
      <c r="Q101" s="39"/>
      <c r="R101" s="39"/>
      <c r="S101" s="17"/>
      <c r="T101" s="17"/>
    </row>
    <row r="102" spans="1:20" x14ac:dyDescent="0.3">
      <c r="B102" s="2">
        <v>98</v>
      </c>
      <c r="C102" s="43" t="str">
        <f t="shared" si="14"/>
        <v xml:space="preserve"> </v>
      </c>
      <c r="N102" s="39"/>
      <c r="P102" s="39"/>
      <c r="Q102" s="39"/>
      <c r="R102" s="39"/>
      <c r="S102" s="17"/>
      <c r="T102" s="17"/>
    </row>
    <row r="103" spans="1:20" x14ac:dyDescent="0.3">
      <c r="B103" s="2">
        <v>99</v>
      </c>
      <c r="C103" s="43" t="str">
        <f t="shared" si="14"/>
        <v xml:space="preserve"> </v>
      </c>
      <c r="N103" s="39"/>
      <c r="P103" s="39"/>
      <c r="Q103" s="39"/>
      <c r="R103" s="39"/>
      <c r="S103" s="17"/>
      <c r="T103" s="17"/>
    </row>
    <row r="104" spans="1:20" x14ac:dyDescent="0.3">
      <c r="B104" s="2">
        <v>100</v>
      </c>
      <c r="C104" s="43" t="str">
        <f t="shared" si="14"/>
        <v xml:space="preserve"> </v>
      </c>
      <c r="N104" s="39"/>
      <c r="P104" s="39"/>
      <c r="Q104" s="39"/>
      <c r="R104" s="39"/>
      <c r="S104" s="17"/>
      <c r="T104" s="17"/>
    </row>
    <row r="105" spans="1:20" x14ac:dyDescent="0.3">
      <c r="B105" s="2">
        <v>101</v>
      </c>
      <c r="C105" s="43" t="str">
        <f t="shared" si="14"/>
        <v xml:space="preserve"> </v>
      </c>
      <c r="N105" s="39"/>
      <c r="P105" s="39"/>
      <c r="Q105" s="39"/>
      <c r="R105" s="39"/>
      <c r="S105" s="17"/>
      <c r="T105" s="17"/>
    </row>
    <row r="106" spans="1:20" x14ac:dyDescent="0.3">
      <c r="B106" s="2">
        <v>102</v>
      </c>
      <c r="C106" s="43" t="str">
        <f t="shared" si="14"/>
        <v xml:space="preserve"> </v>
      </c>
    </row>
    <row r="107" spans="1:20" x14ac:dyDescent="0.3">
      <c r="B107" s="2">
        <v>103</v>
      </c>
      <c r="C107" s="43" t="str">
        <f t="shared" si="14"/>
        <v xml:space="preserve"> </v>
      </c>
    </row>
    <row r="108" spans="1:20" x14ac:dyDescent="0.3">
      <c r="B108" s="2">
        <v>104</v>
      </c>
      <c r="C108" s="43" t="str">
        <f t="shared" si="14"/>
        <v xml:space="preserve"> </v>
      </c>
    </row>
    <row r="109" spans="1:20" x14ac:dyDescent="0.3">
      <c r="C109" s="43"/>
    </row>
    <row r="110" spans="1:20" x14ac:dyDescent="0.3">
      <c r="C110" s="43"/>
    </row>
    <row r="111" spans="1:20" x14ac:dyDescent="0.3">
      <c r="C111" s="43"/>
    </row>
    <row r="112" spans="1:20" x14ac:dyDescent="0.3">
      <c r="C112" s="43"/>
    </row>
    <row r="113" spans="3:3" x14ac:dyDescent="0.3">
      <c r="C113" s="43"/>
    </row>
    <row r="114" spans="3:3" x14ac:dyDescent="0.3">
      <c r="C114" s="43"/>
    </row>
    <row r="115" spans="3:3" x14ac:dyDescent="0.3">
      <c r="C115" s="43"/>
    </row>
    <row r="116" spans="3:3" x14ac:dyDescent="0.3">
      <c r="C116" s="43"/>
    </row>
    <row r="117" spans="3:3" x14ac:dyDescent="0.3">
      <c r="C117" s="43"/>
    </row>
    <row r="118" spans="3:3" x14ac:dyDescent="0.3">
      <c r="C118" s="43"/>
    </row>
    <row r="119" spans="3:3" x14ac:dyDescent="0.3">
      <c r="C119" s="43"/>
    </row>
    <row r="120" spans="3:3" x14ac:dyDescent="0.3">
      <c r="C120" s="43"/>
    </row>
    <row r="121" spans="3:3" x14ac:dyDescent="0.3">
      <c r="C121" s="43"/>
    </row>
    <row r="122" spans="3:3" x14ac:dyDescent="0.3">
      <c r="C122" s="43"/>
    </row>
    <row r="123" spans="3:3" x14ac:dyDescent="0.3">
      <c r="C123" s="43"/>
    </row>
    <row r="124" spans="3:3" x14ac:dyDescent="0.3">
      <c r="C124" s="43"/>
    </row>
    <row r="125" spans="3:3" x14ac:dyDescent="0.3">
      <c r="C125" s="43"/>
    </row>
    <row r="126" spans="3:3" x14ac:dyDescent="0.3">
      <c r="C126" s="43"/>
    </row>
    <row r="127" spans="3:3" x14ac:dyDescent="0.3">
      <c r="C127" s="43"/>
    </row>
    <row r="128" spans="3:3" x14ac:dyDescent="0.3">
      <c r="C128" s="43"/>
    </row>
    <row r="129" spans="3:3" x14ac:dyDescent="0.3">
      <c r="C129" s="43"/>
    </row>
    <row r="130" spans="3:3" x14ac:dyDescent="0.3">
      <c r="C130" s="43"/>
    </row>
    <row r="131" spans="3:3" x14ac:dyDescent="0.3">
      <c r="C131" s="43"/>
    </row>
    <row r="132" spans="3:3" x14ac:dyDescent="0.3">
      <c r="C132" s="43"/>
    </row>
    <row r="133" spans="3:3" x14ac:dyDescent="0.3">
      <c r="C133" s="43"/>
    </row>
    <row r="134" spans="3:3" x14ac:dyDescent="0.3">
      <c r="C134" s="43"/>
    </row>
    <row r="135" spans="3:3" x14ac:dyDescent="0.3">
      <c r="C135" s="43"/>
    </row>
    <row r="136" spans="3:3" x14ac:dyDescent="0.3">
      <c r="C136" s="43"/>
    </row>
    <row r="137" spans="3:3" x14ac:dyDescent="0.3">
      <c r="C137" s="43"/>
    </row>
    <row r="138" spans="3:3" x14ac:dyDescent="0.3">
      <c r="C138" s="43"/>
    </row>
    <row r="139" spans="3:3" x14ac:dyDescent="0.3">
      <c r="C139" s="43"/>
    </row>
    <row r="140" spans="3:3" x14ac:dyDescent="0.3">
      <c r="C140" s="43"/>
    </row>
    <row r="141" spans="3:3" x14ac:dyDescent="0.3">
      <c r="C141" s="43"/>
    </row>
    <row r="142" spans="3:3" x14ac:dyDescent="0.3">
      <c r="C142" s="43"/>
    </row>
    <row r="143" spans="3:3" x14ac:dyDescent="0.3">
      <c r="C143" s="43"/>
    </row>
    <row r="144" spans="3:3" x14ac:dyDescent="0.3">
      <c r="C144" s="43"/>
    </row>
    <row r="145" spans="3:3" x14ac:dyDescent="0.3">
      <c r="C145" s="43"/>
    </row>
    <row r="146" spans="3:3" x14ac:dyDescent="0.3">
      <c r="C146" s="43"/>
    </row>
    <row r="147" spans="3:3" x14ac:dyDescent="0.3">
      <c r="C147" s="43"/>
    </row>
    <row r="148" spans="3:3" x14ac:dyDescent="0.3">
      <c r="C148" s="43"/>
    </row>
    <row r="149" spans="3:3" x14ac:dyDescent="0.3">
      <c r="C149" s="43"/>
    </row>
    <row r="150" spans="3:3" x14ac:dyDescent="0.3">
      <c r="C150" s="43"/>
    </row>
    <row r="151" spans="3:3" x14ac:dyDescent="0.3">
      <c r="C151" s="43"/>
    </row>
    <row r="152" spans="3:3" x14ac:dyDescent="0.3">
      <c r="C152" s="43"/>
    </row>
    <row r="153" spans="3:3" x14ac:dyDescent="0.3">
      <c r="C153" s="43"/>
    </row>
    <row r="154" spans="3:3" x14ac:dyDescent="0.3">
      <c r="C154" s="43"/>
    </row>
    <row r="155" spans="3:3" x14ac:dyDescent="0.3">
      <c r="C155" s="43"/>
    </row>
    <row r="156" spans="3:3" x14ac:dyDescent="0.3">
      <c r="C156" s="43"/>
    </row>
    <row r="157" spans="3:3" x14ac:dyDescent="0.3">
      <c r="C157" s="43"/>
    </row>
    <row r="158" spans="3:3" x14ac:dyDescent="0.3">
      <c r="C158" s="43"/>
    </row>
    <row r="159" spans="3:3" x14ac:dyDescent="0.3">
      <c r="C159" s="43"/>
    </row>
    <row r="160" spans="3:3" x14ac:dyDescent="0.3">
      <c r="C160" s="43"/>
    </row>
    <row r="161" spans="3:3" x14ac:dyDescent="0.3">
      <c r="C161" s="43"/>
    </row>
    <row r="162" spans="3:3" x14ac:dyDescent="0.3">
      <c r="C162" s="43"/>
    </row>
    <row r="163" spans="3:3" x14ac:dyDescent="0.3">
      <c r="C163" s="43"/>
    </row>
    <row r="164" spans="3:3" x14ac:dyDescent="0.3">
      <c r="C164" s="43"/>
    </row>
    <row r="165" spans="3:3" x14ac:dyDescent="0.3">
      <c r="C165" s="43"/>
    </row>
    <row r="166" spans="3:3" x14ac:dyDescent="0.3">
      <c r="C166" s="43"/>
    </row>
    <row r="167" spans="3:3" x14ac:dyDescent="0.3">
      <c r="C167" s="43"/>
    </row>
    <row r="168" spans="3:3" x14ac:dyDescent="0.3">
      <c r="C168" s="43"/>
    </row>
    <row r="169" spans="3:3" x14ac:dyDescent="0.3">
      <c r="C169" s="43"/>
    </row>
    <row r="170" spans="3:3" x14ac:dyDescent="0.3">
      <c r="C170" s="43"/>
    </row>
    <row r="171" spans="3:3" x14ac:dyDescent="0.3">
      <c r="C171" s="43"/>
    </row>
    <row r="172" spans="3:3" x14ac:dyDescent="0.3">
      <c r="C172" s="43"/>
    </row>
    <row r="173" spans="3:3" x14ac:dyDescent="0.3">
      <c r="C173" s="43"/>
    </row>
    <row r="174" spans="3:3" x14ac:dyDescent="0.3">
      <c r="C174" s="43"/>
    </row>
    <row r="175" spans="3:3" x14ac:dyDescent="0.3">
      <c r="C175" s="43"/>
    </row>
    <row r="176" spans="3:3" x14ac:dyDescent="0.3">
      <c r="C176" s="43"/>
    </row>
    <row r="177" spans="3:3" x14ac:dyDescent="0.3">
      <c r="C177" s="43"/>
    </row>
    <row r="178" spans="3:3" x14ac:dyDescent="0.3">
      <c r="C178" s="43"/>
    </row>
    <row r="179" spans="3:3" x14ac:dyDescent="0.3">
      <c r="C179" s="43"/>
    </row>
    <row r="180" spans="3:3" x14ac:dyDescent="0.3">
      <c r="C180" s="43"/>
    </row>
    <row r="181" spans="3:3" x14ac:dyDescent="0.3">
      <c r="C181" s="43"/>
    </row>
    <row r="182" spans="3:3" x14ac:dyDescent="0.3">
      <c r="C182" s="43"/>
    </row>
    <row r="183" spans="3:3" x14ac:dyDescent="0.3">
      <c r="C183" s="43"/>
    </row>
    <row r="184" spans="3:3" x14ac:dyDescent="0.3">
      <c r="C184" s="43"/>
    </row>
    <row r="185" spans="3:3" x14ac:dyDescent="0.3">
      <c r="C185" s="43"/>
    </row>
    <row r="186" spans="3:3" x14ac:dyDescent="0.3">
      <c r="C186" s="43"/>
    </row>
    <row r="187" spans="3:3" x14ac:dyDescent="0.3">
      <c r="C187" s="43"/>
    </row>
    <row r="188" spans="3:3" x14ac:dyDescent="0.3">
      <c r="C188" s="43"/>
    </row>
    <row r="189" spans="3:3" x14ac:dyDescent="0.3">
      <c r="C189" s="43"/>
    </row>
    <row r="190" spans="3:3" x14ac:dyDescent="0.3">
      <c r="C190" s="43"/>
    </row>
    <row r="191" spans="3:3" x14ac:dyDescent="0.3">
      <c r="C191" s="43"/>
    </row>
    <row r="192" spans="3:3" x14ac:dyDescent="0.3">
      <c r="C192" s="43"/>
    </row>
    <row r="193" spans="3:3" x14ac:dyDescent="0.3">
      <c r="C193" s="43"/>
    </row>
    <row r="194" spans="3:3" x14ac:dyDescent="0.3">
      <c r="C194" s="43"/>
    </row>
    <row r="195" spans="3:3" x14ac:dyDescent="0.3">
      <c r="C195" s="43"/>
    </row>
    <row r="196" spans="3:3" x14ac:dyDescent="0.3">
      <c r="C196" s="43"/>
    </row>
    <row r="197" spans="3:3" x14ac:dyDescent="0.3">
      <c r="C197" s="43"/>
    </row>
    <row r="198" spans="3:3" x14ac:dyDescent="0.3">
      <c r="C198" s="43"/>
    </row>
    <row r="199" spans="3:3" x14ac:dyDescent="0.3">
      <c r="C199" s="43"/>
    </row>
    <row r="200" spans="3:3" x14ac:dyDescent="0.3">
      <c r="C200" s="43"/>
    </row>
    <row r="201" spans="3:3" x14ac:dyDescent="0.3">
      <c r="C201" s="43"/>
    </row>
    <row r="202" spans="3:3" x14ac:dyDescent="0.3">
      <c r="C202" s="43"/>
    </row>
    <row r="203" spans="3:3" x14ac:dyDescent="0.3">
      <c r="C203" s="43"/>
    </row>
    <row r="204" spans="3:3" x14ac:dyDescent="0.3">
      <c r="C204" s="43"/>
    </row>
    <row r="205" spans="3:3" x14ac:dyDescent="0.3">
      <c r="C205" s="43"/>
    </row>
    <row r="206" spans="3:3" x14ac:dyDescent="0.3">
      <c r="C206" s="43"/>
    </row>
    <row r="207" spans="3:3" x14ac:dyDescent="0.3">
      <c r="C207" s="43"/>
    </row>
    <row r="208" spans="3:3" x14ac:dyDescent="0.3">
      <c r="C208" s="43"/>
    </row>
    <row r="209" spans="3:3" x14ac:dyDescent="0.3">
      <c r="C209" s="43"/>
    </row>
    <row r="210" spans="3:3" x14ac:dyDescent="0.3">
      <c r="C210" s="43"/>
    </row>
    <row r="211" spans="3:3" x14ac:dyDescent="0.3">
      <c r="C211" s="43"/>
    </row>
    <row r="212" spans="3:3" x14ac:dyDescent="0.3">
      <c r="C212" s="43"/>
    </row>
    <row r="213" spans="3:3" x14ac:dyDescent="0.3">
      <c r="C213" s="43"/>
    </row>
    <row r="214" spans="3:3" x14ac:dyDescent="0.3">
      <c r="C214" s="43"/>
    </row>
    <row r="215" spans="3:3" x14ac:dyDescent="0.3">
      <c r="C215" s="43"/>
    </row>
    <row r="216" spans="3:3" x14ac:dyDescent="0.3">
      <c r="C216" s="43"/>
    </row>
    <row r="217" spans="3:3" x14ac:dyDescent="0.3">
      <c r="C217" s="43"/>
    </row>
    <row r="218" spans="3:3" x14ac:dyDescent="0.3">
      <c r="C218" s="43"/>
    </row>
    <row r="219" spans="3:3" x14ac:dyDescent="0.3">
      <c r="C219" s="43"/>
    </row>
    <row r="220" spans="3:3" x14ac:dyDescent="0.3">
      <c r="C220" s="43"/>
    </row>
    <row r="221" spans="3:3" x14ac:dyDescent="0.3">
      <c r="C221" s="43"/>
    </row>
    <row r="222" spans="3:3" x14ac:dyDescent="0.3">
      <c r="C222" s="43"/>
    </row>
    <row r="223" spans="3:3" x14ac:dyDescent="0.3">
      <c r="C223" s="43"/>
    </row>
    <row r="224" spans="3:3" x14ac:dyDescent="0.3">
      <c r="C224" s="43"/>
    </row>
    <row r="225" spans="3:3" x14ac:dyDescent="0.3">
      <c r="C225" s="43"/>
    </row>
    <row r="226" spans="3:3" x14ac:dyDescent="0.3">
      <c r="C226" s="43"/>
    </row>
    <row r="227" spans="3:3" x14ac:dyDescent="0.3">
      <c r="C227" s="43"/>
    </row>
    <row r="228" spans="3:3" x14ac:dyDescent="0.3">
      <c r="C228" s="43"/>
    </row>
    <row r="229" spans="3:3" x14ac:dyDescent="0.3">
      <c r="C229" s="43"/>
    </row>
    <row r="230" spans="3:3" x14ac:dyDescent="0.3">
      <c r="C230" s="43"/>
    </row>
    <row r="231" spans="3:3" x14ac:dyDescent="0.3">
      <c r="C231" s="43"/>
    </row>
    <row r="232" spans="3:3" x14ac:dyDescent="0.3">
      <c r="C232" s="43"/>
    </row>
    <row r="233" spans="3:3" x14ac:dyDescent="0.3">
      <c r="C233" s="43"/>
    </row>
    <row r="234" spans="3:3" x14ac:dyDescent="0.3">
      <c r="C234" s="43"/>
    </row>
    <row r="235" spans="3:3" x14ac:dyDescent="0.3">
      <c r="C235" s="43"/>
    </row>
    <row r="236" spans="3:3" x14ac:dyDescent="0.3">
      <c r="C236" s="43"/>
    </row>
    <row r="237" spans="3:3" x14ac:dyDescent="0.3">
      <c r="C237" s="43"/>
    </row>
    <row r="238" spans="3:3" x14ac:dyDescent="0.3">
      <c r="C238" s="43"/>
    </row>
    <row r="239" spans="3:3" x14ac:dyDescent="0.3">
      <c r="C239" s="43"/>
    </row>
    <row r="240" spans="3:3" x14ac:dyDescent="0.3">
      <c r="C240" s="43"/>
    </row>
    <row r="241" spans="3:3" x14ac:dyDescent="0.3">
      <c r="C241" s="43"/>
    </row>
    <row r="242" spans="3:3" x14ac:dyDescent="0.3">
      <c r="C242" s="43"/>
    </row>
    <row r="243" spans="3:3" x14ac:dyDescent="0.3">
      <c r="C243" s="43"/>
    </row>
    <row r="244" spans="3:3" x14ac:dyDescent="0.3">
      <c r="C244" s="43"/>
    </row>
    <row r="245" spans="3:3" x14ac:dyDescent="0.3">
      <c r="C245" s="43"/>
    </row>
    <row r="246" spans="3:3" x14ac:dyDescent="0.3">
      <c r="C246" s="43"/>
    </row>
    <row r="247" spans="3:3" x14ac:dyDescent="0.3">
      <c r="C247" s="43"/>
    </row>
    <row r="248" spans="3:3" x14ac:dyDescent="0.3">
      <c r="C248" s="43"/>
    </row>
    <row r="249" spans="3:3" x14ac:dyDescent="0.3">
      <c r="C249" s="43"/>
    </row>
    <row r="250" spans="3:3" x14ac:dyDescent="0.3">
      <c r="C250" s="43"/>
    </row>
    <row r="251" spans="3:3" x14ac:dyDescent="0.3">
      <c r="C251" s="43"/>
    </row>
    <row r="252" spans="3:3" x14ac:dyDescent="0.3">
      <c r="C252" s="43"/>
    </row>
    <row r="253" spans="3:3" x14ac:dyDescent="0.3">
      <c r="C253" s="43"/>
    </row>
    <row r="254" spans="3:3" x14ac:dyDescent="0.3">
      <c r="C254" s="43"/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FB46"/>
  <sheetViews>
    <sheetView zoomScale="90" zoomScaleNormal="90" workbookViewId="0">
      <pane xSplit="4" topLeftCell="E1" activePane="topRight" state="frozen"/>
      <selection pane="topRight" activeCell="BJ30" sqref="BJ30"/>
    </sheetView>
  </sheetViews>
  <sheetFormatPr defaultRowHeight="14.4" x14ac:dyDescent="0.3"/>
  <cols>
    <col min="2" max="2" width="15" customWidth="1"/>
    <col min="3" max="3" width="4" customWidth="1"/>
    <col min="10" max="13" width="4.6640625" style="41" customWidth="1"/>
    <col min="19" max="22" width="4.6640625" style="41" customWidth="1"/>
    <col min="28" max="31" width="4.6640625" style="41" customWidth="1"/>
    <col min="37" max="40" width="4.6640625" style="41" customWidth="1"/>
    <col min="41" max="41" width="20.6640625" customWidth="1"/>
    <col min="46" max="49" width="4.6640625" style="41" customWidth="1"/>
    <col min="55" max="58" width="4.6640625" style="41" customWidth="1"/>
    <col min="59" max="59" width="16.88671875" customWidth="1"/>
    <col min="64" max="67" width="4.6640625" style="41" customWidth="1"/>
    <col min="73" max="76" width="4.6640625" style="41" customWidth="1"/>
    <col min="82" max="85" width="4.6640625" customWidth="1"/>
  </cols>
  <sheetData>
    <row r="1" spans="1:158" s="183" customFormat="1" x14ac:dyDescent="0.3">
      <c r="A1" s="181">
        <v>0</v>
      </c>
      <c r="B1" t="s">
        <v>202</v>
      </c>
      <c r="C1" t="str">
        <f t="shared" ref="C1:C7" si="0">CONCATENATE(A1," ",B1)</f>
        <v>0 Last used</v>
      </c>
      <c r="D1" s="182" t="s">
        <v>204</v>
      </c>
      <c r="E1" s="307" t="s">
        <v>323</v>
      </c>
      <c r="F1" s="306"/>
      <c r="G1" s="308" t="s">
        <v>389</v>
      </c>
      <c r="H1" s="182">
        <v>8</v>
      </c>
      <c r="I1" s="182">
        <v>9</v>
      </c>
      <c r="J1" s="182">
        <v>10</v>
      </c>
      <c r="K1" s="182">
        <v>11</v>
      </c>
      <c r="L1" s="182">
        <v>12</v>
      </c>
      <c r="M1" s="182">
        <v>13</v>
      </c>
      <c r="N1" s="182">
        <v>14</v>
      </c>
      <c r="O1" s="182">
        <v>15</v>
      </c>
      <c r="P1" s="182">
        <v>16</v>
      </c>
      <c r="Q1" s="182">
        <v>17</v>
      </c>
      <c r="R1" s="182">
        <v>18</v>
      </c>
      <c r="S1" s="182">
        <v>19</v>
      </c>
      <c r="T1" s="182">
        <v>20</v>
      </c>
      <c r="U1" s="182">
        <v>21</v>
      </c>
      <c r="V1" s="182">
        <v>22</v>
      </c>
      <c r="W1" s="182">
        <v>23</v>
      </c>
      <c r="X1" s="182">
        <v>24</v>
      </c>
      <c r="Y1" s="182">
        <v>25</v>
      </c>
      <c r="Z1" s="182">
        <v>26</v>
      </c>
      <c r="AA1" s="182">
        <v>27</v>
      </c>
      <c r="AB1" s="182">
        <v>28</v>
      </c>
      <c r="AC1" s="182">
        <v>29</v>
      </c>
      <c r="AD1" s="182">
        <v>30</v>
      </c>
      <c r="AE1" s="182">
        <v>31</v>
      </c>
      <c r="AF1" s="182">
        <v>32</v>
      </c>
      <c r="AG1" s="182">
        <v>33</v>
      </c>
      <c r="AH1" s="182">
        <v>34</v>
      </c>
      <c r="AI1" s="182">
        <v>35</v>
      </c>
      <c r="AJ1" s="182">
        <v>36</v>
      </c>
      <c r="AK1" s="182">
        <v>37</v>
      </c>
      <c r="AL1" s="182">
        <v>38</v>
      </c>
      <c r="AM1" s="182">
        <v>39</v>
      </c>
      <c r="AN1" s="182">
        <v>40</v>
      </c>
      <c r="AO1" s="182">
        <v>41</v>
      </c>
      <c r="AP1" s="182">
        <v>42</v>
      </c>
      <c r="AQ1" s="182">
        <v>43</v>
      </c>
      <c r="AR1" s="182">
        <v>44</v>
      </c>
      <c r="AS1" s="182">
        <v>45</v>
      </c>
      <c r="AT1" s="182">
        <v>46</v>
      </c>
      <c r="AU1" s="182">
        <v>47</v>
      </c>
      <c r="AV1" s="182">
        <v>48</v>
      </c>
      <c r="AW1" s="182">
        <v>49</v>
      </c>
      <c r="AX1" s="182">
        <v>50</v>
      </c>
      <c r="AY1" s="182">
        <v>51</v>
      </c>
      <c r="AZ1" s="182">
        <v>52</v>
      </c>
      <c r="BA1" s="182">
        <v>53</v>
      </c>
      <c r="BB1" s="182">
        <v>54</v>
      </c>
      <c r="BC1" s="182">
        <v>55</v>
      </c>
      <c r="BD1" s="182">
        <v>56</v>
      </c>
      <c r="BE1" s="182">
        <v>57</v>
      </c>
      <c r="BF1" s="182">
        <v>58</v>
      </c>
      <c r="BG1" s="182">
        <v>59</v>
      </c>
      <c r="BH1" s="182">
        <v>60</v>
      </c>
      <c r="BI1" s="182">
        <v>61</v>
      </c>
      <c r="BJ1" s="182">
        <v>62</v>
      </c>
      <c r="BK1" s="182">
        <v>63</v>
      </c>
      <c r="BL1" s="182">
        <v>64</v>
      </c>
      <c r="BM1" s="182">
        <v>65</v>
      </c>
      <c r="BN1" s="182">
        <v>66</v>
      </c>
      <c r="BO1" s="182">
        <v>67</v>
      </c>
      <c r="BP1" s="182">
        <v>68</v>
      </c>
      <c r="BQ1" s="182">
        <v>69</v>
      </c>
      <c r="BR1" s="182">
        <v>70</v>
      </c>
      <c r="BS1" s="182">
        <v>71</v>
      </c>
      <c r="BT1" s="182">
        <v>72</v>
      </c>
      <c r="BU1" s="182">
        <v>73</v>
      </c>
      <c r="BV1" s="182">
        <v>74</v>
      </c>
      <c r="BW1" s="182">
        <v>75</v>
      </c>
      <c r="BX1" s="182">
        <v>76</v>
      </c>
      <c r="BY1" s="182">
        <v>77</v>
      </c>
      <c r="BZ1" s="182">
        <v>78</v>
      </c>
      <c r="CA1" s="182">
        <v>79</v>
      </c>
      <c r="CB1" s="182">
        <v>80</v>
      </c>
      <c r="CC1" s="182">
        <v>81</v>
      </c>
      <c r="CD1" s="182">
        <v>82</v>
      </c>
      <c r="CE1" s="182">
        <v>83</v>
      </c>
      <c r="CF1" s="182">
        <v>84</v>
      </c>
      <c r="CG1" s="182">
        <v>85</v>
      </c>
      <c r="CH1" s="182">
        <v>86</v>
      </c>
      <c r="CI1" s="182">
        <v>87</v>
      </c>
      <c r="CJ1" s="182">
        <v>88</v>
      </c>
      <c r="CK1" s="182">
        <v>89</v>
      </c>
      <c r="CL1" s="182">
        <v>90</v>
      </c>
      <c r="CM1" s="182">
        <v>91</v>
      </c>
      <c r="CN1" s="182">
        <v>92</v>
      </c>
      <c r="CO1" s="182">
        <v>93</v>
      </c>
      <c r="CP1" s="182">
        <v>94</v>
      </c>
      <c r="CQ1" s="182">
        <v>95</v>
      </c>
      <c r="CR1" s="182"/>
      <c r="CS1" s="182"/>
      <c r="CT1" s="182"/>
      <c r="CU1" s="182"/>
      <c r="CV1" s="182"/>
      <c r="CW1" s="182"/>
      <c r="CX1" s="182"/>
      <c r="CY1" s="182"/>
      <c r="CZ1" s="182"/>
      <c r="DA1" s="182"/>
      <c r="DB1" s="182"/>
      <c r="DC1" s="182"/>
      <c r="DD1" s="182"/>
      <c r="DE1" s="182"/>
      <c r="DF1" s="182"/>
      <c r="DG1" s="182"/>
      <c r="DH1" s="182"/>
      <c r="DI1" s="182"/>
      <c r="DJ1" s="182"/>
      <c r="DK1" s="182"/>
      <c r="DL1" s="182"/>
      <c r="DM1" s="182"/>
      <c r="DN1" s="182"/>
      <c r="DO1" s="182"/>
      <c r="DP1" s="182"/>
      <c r="DQ1" s="182"/>
      <c r="DR1" s="182"/>
      <c r="DS1" s="182"/>
      <c r="DT1" s="182"/>
      <c r="DU1" s="182"/>
      <c r="DV1" s="182"/>
      <c r="DW1" s="182"/>
      <c r="DX1" s="182"/>
      <c r="DY1" s="182"/>
      <c r="DZ1" s="182"/>
      <c r="EA1" s="182"/>
      <c r="EB1" s="182"/>
      <c r="EC1" s="182"/>
      <c r="ED1" s="182"/>
      <c r="EE1" s="182"/>
      <c r="EF1" s="182"/>
      <c r="EG1" s="182"/>
      <c r="EH1" s="182"/>
      <c r="EI1" s="182"/>
      <c r="EJ1" s="182"/>
      <c r="EK1" s="182"/>
      <c r="EL1" s="182"/>
      <c r="EM1" s="182"/>
      <c r="EN1" s="182"/>
      <c r="EO1" s="182"/>
      <c r="EP1" s="182"/>
      <c r="EQ1" s="182"/>
      <c r="ER1" s="182"/>
      <c r="ES1" s="182"/>
      <c r="ET1" s="182"/>
      <c r="EU1" s="182"/>
      <c r="EV1" s="182"/>
      <c r="EW1" s="182"/>
      <c r="EX1" s="182"/>
      <c r="EY1" s="182"/>
      <c r="EZ1" s="182"/>
      <c r="FA1" s="182"/>
      <c r="FB1" s="182"/>
    </row>
    <row r="2" spans="1:158" s="185" customFormat="1" x14ac:dyDescent="0.3">
      <c r="A2" s="181">
        <v>1</v>
      </c>
      <c r="B2" t="s">
        <v>203</v>
      </c>
      <c r="C2" t="str">
        <f t="shared" si="0"/>
        <v>1 General calc.</v>
      </c>
      <c r="D2" s="184" t="s">
        <v>204</v>
      </c>
      <c r="E2" s="181">
        <v>0</v>
      </c>
      <c r="F2" s="184"/>
      <c r="G2" s="184"/>
      <c r="H2" s="184"/>
      <c r="I2" s="184"/>
      <c r="J2" s="184"/>
      <c r="K2" s="184"/>
      <c r="L2" s="184"/>
      <c r="M2" s="184"/>
      <c r="N2" s="184"/>
      <c r="O2" s="184"/>
      <c r="P2" s="184"/>
      <c r="Q2" s="184"/>
      <c r="R2" s="184"/>
      <c r="S2" s="184"/>
      <c r="T2" s="184"/>
      <c r="U2" s="184"/>
      <c r="V2" s="184"/>
      <c r="W2" s="184"/>
      <c r="X2" s="184"/>
      <c r="Y2" s="184"/>
      <c r="Z2" s="184"/>
      <c r="AA2" s="184"/>
      <c r="AB2" s="184"/>
      <c r="AC2" s="184"/>
      <c r="AD2" s="184"/>
      <c r="AE2" s="184"/>
      <c r="AF2" s="184"/>
      <c r="AG2" s="184"/>
      <c r="AH2" s="184"/>
      <c r="AI2" s="184"/>
      <c r="AJ2" s="184"/>
      <c r="AK2" s="184"/>
      <c r="AL2" s="184"/>
      <c r="AM2" s="184"/>
      <c r="AN2" s="184"/>
      <c r="AO2" s="184"/>
      <c r="AP2" s="184"/>
      <c r="AQ2" s="184"/>
      <c r="AR2" s="184"/>
      <c r="AS2" s="184"/>
      <c r="AT2" s="184"/>
      <c r="AU2" s="184"/>
      <c r="AV2" s="184"/>
      <c r="AW2" s="184"/>
      <c r="AX2" s="184"/>
      <c r="AY2" s="184"/>
      <c r="AZ2" s="184"/>
      <c r="BA2" s="184"/>
      <c r="BB2" s="184"/>
      <c r="BC2" s="184"/>
      <c r="BD2" s="184"/>
      <c r="BE2" s="184"/>
      <c r="BF2" s="184"/>
      <c r="BG2" s="184"/>
      <c r="BH2" s="184"/>
      <c r="BI2" s="184"/>
      <c r="BJ2" s="184"/>
      <c r="BK2" s="184"/>
      <c r="BL2" s="184"/>
      <c r="BM2" s="184"/>
      <c r="BN2" s="184"/>
      <c r="BO2" s="184"/>
      <c r="BP2" s="184"/>
      <c r="BQ2" s="184"/>
      <c r="BR2" s="184"/>
      <c r="BS2" s="184"/>
      <c r="BT2" s="184"/>
      <c r="BU2" s="184"/>
      <c r="BV2" s="184"/>
      <c r="BW2" s="184"/>
      <c r="BX2" s="184"/>
      <c r="BY2" s="184"/>
      <c r="BZ2" s="184"/>
      <c r="CA2" s="184"/>
      <c r="CB2" s="184"/>
      <c r="CC2" s="184"/>
      <c r="CD2" s="184"/>
      <c r="CE2" s="184"/>
      <c r="CF2" s="184"/>
      <c r="CG2" s="184"/>
      <c r="CH2" s="184"/>
      <c r="CI2" s="184"/>
      <c r="CJ2" s="184"/>
      <c r="CK2" s="184"/>
      <c r="CL2" s="184"/>
      <c r="CM2" s="184"/>
      <c r="CN2" s="184"/>
      <c r="CO2" s="184"/>
      <c r="CP2" s="184"/>
      <c r="CQ2" s="184"/>
      <c r="CR2" s="184"/>
      <c r="CS2" s="184"/>
      <c r="CT2" s="184"/>
      <c r="CU2" s="184"/>
      <c r="CV2" s="184"/>
      <c r="CW2" s="184"/>
      <c r="CX2" s="184"/>
      <c r="CY2" s="184"/>
      <c r="CZ2" s="184"/>
      <c r="DA2" s="184"/>
      <c r="DB2" s="184"/>
      <c r="DC2" s="184"/>
      <c r="DD2" s="184"/>
      <c r="DE2" s="184"/>
      <c r="DF2" s="184"/>
      <c r="DG2" s="184"/>
      <c r="DH2" s="184"/>
      <c r="DI2" s="184"/>
      <c r="DJ2" s="184"/>
      <c r="DK2" s="184"/>
      <c r="DL2" s="184"/>
      <c r="DM2" s="184"/>
      <c r="DN2" s="184"/>
      <c r="DO2" s="184"/>
      <c r="DP2" s="184"/>
      <c r="DQ2" s="184"/>
      <c r="DR2" s="184"/>
      <c r="DS2" s="184"/>
      <c r="DT2" s="184"/>
      <c r="DU2" s="184"/>
      <c r="DV2" s="184"/>
      <c r="DW2" s="184"/>
      <c r="DX2" s="184"/>
      <c r="DY2" s="184"/>
      <c r="DZ2" s="184"/>
      <c r="EA2" s="184"/>
      <c r="EB2" s="184"/>
      <c r="EC2" s="184"/>
      <c r="ED2" s="184"/>
      <c r="EE2" s="184"/>
      <c r="EF2" s="184"/>
      <c r="EG2" s="184"/>
      <c r="EH2" s="184"/>
      <c r="EI2" s="184"/>
      <c r="EJ2" s="184"/>
      <c r="EK2" s="184"/>
      <c r="EL2" s="184"/>
      <c r="EM2" s="184"/>
      <c r="EN2" s="184"/>
      <c r="EO2" s="184"/>
      <c r="EP2" s="184"/>
      <c r="EQ2" s="184"/>
      <c r="ER2" s="184"/>
      <c r="ES2" s="184"/>
      <c r="ET2" s="184"/>
      <c r="EU2" s="184"/>
      <c r="EV2" s="184"/>
      <c r="EW2" s="184"/>
      <c r="EX2" s="184"/>
      <c r="EY2" s="184"/>
      <c r="EZ2" s="184"/>
      <c r="FA2" s="184"/>
      <c r="FB2" s="184"/>
    </row>
    <row r="3" spans="1:158" x14ac:dyDescent="0.3">
      <c r="A3" s="181">
        <v>2</v>
      </c>
      <c r="B3" t="s">
        <v>205</v>
      </c>
      <c r="C3" t="str">
        <f t="shared" si="0"/>
        <v>2 Insu. deflection</v>
      </c>
      <c r="D3" t="s">
        <v>204</v>
      </c>
      <c r="E3" s="186" t="s">
        <v>177</v>
      </c>
      <c r="F3" s="187" t="s">
        <v>73</v>
      </c>
      <c r="G3" s="187" t="s">
        <v>74</v>
      </c>
      <c r="H3" s="187" t="s">
        <v>75</v>
      </c>
      <c r="I3" s="187" t="s">
        <v>76</v>
      </c>
      <c r="J3" s="444" t="s">
        <v>390</v>
      </c>
      <c r="K3" s="444" t="s">
        <v>98</v>
      </c>
      <c r="L3" s="444" t="s">
        <v>391</v>
      </c>
      <c r="M3" s="444" t="s">
        <v>392</v>
      </c>
      <c r="N3" s="186" t="s">
        <v>177</v>
      </c>
      <c r="O3" s="187" t="s">
        <v>73</v>
      </c>
      <c r="P3" s="187" t="s">
        <v>74</v>
      </c>
      <c r="Q3" s="187" t="s">
        <v>75</v>
      </c>
      <c r="R3" s="187" t="s">
        <v>76</v>
      </c>
      <c r="S3" s="444" t="s">
        <v>390</v>
      </c>
      <c r="T3" s="444" t="s">
        <v>98</v>
      </c>
      <c r="U3" s="444" t="s">
        <v>391</v>
      </c>
      <c r="V3" s="444" t="s">
        <v>392</v>
      </c>
      <c r="W3" s="186" t="s">
        <v>177</v>
      </c>
      <c r="X3" s="187" t="s">
        <v>73</v>
      </c>
      <c r="Y3" s="187" t="s">
        <v>74</v>
      </c>
      <c r="Z3" s="187" t="s">
        <v>75</v>
      </c>
      <c r="AA3" s="187" t="s">
        <v>76</v>
      </c>
      <c r="AB3" s="444" t="s">
        <v>390</v>
      </c>
      <c r="AC3" s="444" t="s">
        <v>98</v>
      </c>
      <c r="AD3" s="444" t="s">
        <v>391</v>
      </c>
      <c r="AE3" s="444" t="s">
        <v>392</v>
      </c>
      <c r="AF3" s="186" t="s">
        <v>177</v>
      </c>
      <c r="AG3" s="187" t="s">
        <v>73</v>
      </c>
      <c r="AH3" s="187" t="s">
        <v>74</v>
      </c>
      <c r="AI3" s="187" t="s">
        <v>75</v>
      </c>
      <c r="AJ3" s="187" t="s">
        <v>76</v>
      </c>
      <c r="AK3" s="444" t="s">
        <v>390</v>
      </c>
      <c r="AL3" s="444" t="s">
        <v>98</v>
      </c>
      <c r="AM3" s="444" t="s">
        <v>391</v>
      </c>
      <c r="AN3" s="444" t="s">
        <v>392</v>
      </c>
      <c r="AO3" s="186" t="s">
        <v>177</v>
      </c>
      <c r="AP3" s="187" t="s">
        <v>73</v>
      </c>
      <c r="AQ3" s="187" t="s">
        <v>74</v>
      </c>
      <c r="AR3" s="187" t="s">
        <v>75</v>
      </c>
      <c r="AS3" s="187" t="s">
        <v>76</v>
      </c>
      <c r="AT3" s="444" t="s">
        <v>390</v>
      </c>
      <c r="AU3" s="444" t="s">
        <v>98</v>
      </c>
      <c r="AV3" s="444" t="s">
        <v>391</v>
      </c>
      <c r="AW3" s="444" t="s">
        <v>392</v>
      </c>
      <c r="AX3" s="186" t="s">
        <v>177</v>
      </c>
      <c r="AY3" s="187" t="s">
        <v>73</v>
      </c>
      <c r="AZ3" s="187" t="s">
        <v>74</v>
      </c>
      <c r="BA3" s="187" t="s">
        <v>75</v>
      </c>
      <c r="BB3" s="187" t="s">
        <v>76</v>
      </c>
      <c r="BC3" s="444" t="s">
        <v>390</v>
      </c>
      <c r="BD3" s="444" t="s">
        <v>98</v>
      </c>
      <c r="BE3" s="444" t="s">
        <v>391</v>
      </c>
      <c r="BF3" s="444" t="s">
        <v>392</v>
      </c>
      <c r="BG3" s="186" t="s">
        <v>177</v>
      </c>
      <c r="BH3" s="187" t="s">
        <v>73</v>
      </c>
      <c r="BI3" s="187" t="s">
        <v>74</v>
      </c>
      <c r="BJ3" s="187" t="s">
        <v>75</v>
      </c>
      <c r="BK3" s="187" t="s">
        <v>76</v>
      </c>
      <c r="BL3" s="444" t="s">
        <v>390</v>
      </c>
      <c r="BM3" s="444" t="s">
        <v>98</v>
      </c>
      <c r="BN3" s="444" t="s">
        <v>391</v>
      </c>
      <c r="BO3" s="444" t="s">
        <v>392</v>
      </c>
      <c r="BP3" s="186" t="s">
        <v>177</v>
      </c>
      <c r="BQ3" s="187" t="s">
        <v>73</v>
      </c>
      <c r="BR3" s="187" t="s">
        <v>74</v>
      </c>
      <c r="BS3" s="187" t="s">
        <v>75</v>
      </c>
      <c r="BT3" s="187" t="s">
        <v>76</v>
      </c>
      <c r="BU3" s="444" t="s">
        <v>390</v>
      </c>
      <c r="BV3" s="444" t="s">
        <v>98</v>
      </c>
      <c r="BW3" s="444" t="s">
        <v>391</v>
      </c>
      <c r="BX3" s="444" t="s">
        <v>392</v>
      </c>
      <c r="BY3" s="186" t="s">
        <v>177</v>
      </c>
      <c r="BZ3" s="187" t="s">
        <v>73</v>
      </c>
      <c r="CA3" s="187" t="s">
        <v>74</v>
      </c>
      <c r="CB3" s="187" t="s">
        <v>75</v>
      </c>
      <c r="CC3" s="187" t="s">
        <v>76</v>
      </c>
      <c r="CD3" s="444" t="s">
        <v>390</v>
      </c>
      <c r="CE3" s="444" t="s">
        <v>98</v>
      </c>
      <c r="CF3" s="444" t="s">
        <v>391</v>
      </c>
      <c r="CG3" s="444" t="s">
        <v>392</v>
      </c>
    </row>
    <row r="4" spans="1:158" x14ac:dyDescent="0.3">
      <c r="A4" s="181">
        <v>3</v>
      </c>
      <c r="B4" t="s">
        <v>133</v>
      </c>
      <c r="C4" t="str">
        <f t="shared" si="0"/>
        <v>3 Regleringstabell</v>
      </c>
      <c r="D4" s="188">
        <v>-2</v>
      </c>
      <c r="E4" s="189" t="s">
        <v>178</v>
      </c>
      <c r="F4" s="190">
        <v>0</v>
      </c>
      <c r="G4" s="191">
        <v>0</v>
      </c>
      <c r="H4" s="191">
        <v>0</v>
      </c>
      <c r="I4" s="191" t="s">
        <v>111</v>
      </c>
      <c r="J4" s="445"/>
      <c r="K4" s="445"/>
      <c r="L4" s="445"/>
      <c r="M4" s="445"/>
      <c r="N4" s="189" t="s">
        <v>178</v>
      </c>
      <c r="O4" s="190">
        <v>0</v>
      </c>
      <c r="P4" s="191">
        <v>0</v>
      </c>
      <c r="Q4" s="191">
        <v>0</v>
      </c>
      <c r="R4" s="191" t="s">
        <v>111</v>
      </c>
      <c r="S4" s="445"/>
      <c r="T4" s="445"/>
      <c r="U4" s="445"/>
      <c r="V4" s="445"/>
      <c r="W4" s="189" t="s">
        <v>178</v>
      </c>
      <c r="X4" s="190">
        <v>0</v>
      </c>
      <c r="Y4" s="191">
        <v>0</v>
      </c>
      <c r="Z4" s="191">
        <v>0</v>
      </c>
      <c r="AA4" s="191" t="s">
        <v>111</v>
      </c>
      <c r="AB4" s="445"/>
      <c r="AC4" s="445"/>
      <c r="AD4" s="445"/>
      <c r="AE4" s="445"/>
      <c r="AF4" s="189" t="s">
        <v>178</v>
      </c>
      <c r="AG4" s="190">
        <v>0</v>
      </c>
      <c r="AH4" s="191">
        <v>0</v>
      </c>
      <c r="AI4" s="191">
        <v>0</v>
      </c>
      <c r="AJ4" s="191" t="s">
        <v>111</v>
      </c>
      <c r="AK4" s="445"/>
      <c r="AL4" s="445"/>
      <c r="AM4" s="445"/>
      <c r="AN4" s="445"/>
      <c r="AO4" s="189" t="s">
        <v>178</v>
      </c>
      <c r="AP4" s="190">
        <v>0</v>
      </c>
      <c r="AQ4" s="191">
        <v>0</v>
      </c>
      <c r="AR4" s="191">
        <v>0</v>
      </c>
      <c r="AS4" s="191" t="s">
        <v>111</v>
      </c>
      <c r="AT4" s="445"/>
      <c r="AU4" s="445"/>
      <c r="AV4" s="445"/>
      <c r="AW4" s="445"/>
      <c r="AX4" s="189" t="s">
        <v>178</v>
      </c>
      <c r="AY4" s="190">
        <v>0</v>
      </c>
      <c r="AZ4" s="191">
        <v>0</v>
      </c>
      <c r="BA4" s="191">
        <v>0</v>
      </c>
      <c r="BB4" s="191" t="s">
        <v>111</v>
      </c>
      <c r="BC4" s="445"/>
      <c r="BD4" s="445"/>
      <c r="BE4" s="445"/>
      <c r="BF4" s="445"/>
      <c r="BG4" s="189" t="s">
        <v>178</v>
      </c>
      <c r="BH4" s="190">
        <v>0</v>
      </c>
      <c r="BI4" s="191">
        <v>0</v>
      </c>
      <c r="BJ4" s="191">
        <v>0</v>
      </c>
      <c r="BK4" s="191" t="s">
        <v>111</v>
      </c>
      <c r="BL4" s="445"/>
      <c r="BM4" s="445"/>
      <c r="BN4" s="445"/>
      <c r="BO4" s="445"/>
      <c r="BP4" s="189" t="s">
        <v>178</v>
      </c>
      <c r="BQ4" s="190">
        <v>0</v>
      </c>
      <c r="BR4" s="191">
        <v>0</v>
      </c>
      <c r="BS4" s="191">
        <v>0</v>
      </c>
      <c r="BT4" s="191" t="s">
        <v>111</v>
      </c>
      <c r="BU4" s="445"/>
      <c r="BV4" s="445"/>
      <c r="BW4" s="445"/>
      <c r="BX4" s="445"/>
      <c r="BY4" s="189" t="s">
        <v>178</v>
      </c>
      <c r="BZ4" s="190">
        <v>0</v>
      </c>
      <c r="CA4" s="191">
        <v>0</v>
      </c>
      <c r="CB4" s="191">
        <v>0</v>
      </c>
      <c r="CC4" s="191" t="s">
        <v>111</v>
      </c>
      <c r="CD4" s="445"/>
      <c r="CE4" s="445"/>
      <c r="CF4" s="445"/>
      <c r="CG4" s="445"/>
      <c r="CH4" s="192"/>
      <c r="CI4" s="192"/>
      <c r="CJ4" s="192"/>
      <c r="CK4" s="192"/>
      <c r="CL4" s="192"/>
      <c r="CM4" s="192"/>
      <c r="CN4" s="192"/>
      <c r="CO4" s="192"/>
      <c r="CP4" s="192"/>
      <c r="CQ4" s="192"/>
      <c r="CR4" s="192"/>
      <c r="CS4" s="192"/>
      <c r="CT4" s="192"/>
      <c r="CU4" s="192"/>
      <c r="CV4" s="192"/>
      <c r="CW4" s="192"/>
      <c r="CX4" s="192"/>
      <c r="CY4" s="192"/>
      <c r="CZ4" s="192"/>
      <c r="DA4" s="192"/>
      <c r="DB4" s="192"/>
      <c r="DC4" s="192"/>
      <c r="DD4" s="192"/>
      <c r="DE4" s="192"/>
      <c r="DF4" s="192"/>
      <c r="DG4" s="192"/>
      <c r="DH4" s="192"/>
      <c r="DI4" s="192"/>
      <c r="DJ4" s="192"/>
      <c r="DK4" s="192"/>
      <c r="DL4" s="192"/>
      <c r="DM4" s="192"/>
      <c r="DN4" s="192"/>
      <c r="DO4" s="192"/>
      <c r="DP4" s="192"/>
      <c r="DQ4" s="192"/>
      <c r="DR4" s="192"/>
      <c r="DS4" s="192"/>
      <c r="DT4" s="192"/>
      <c r="DU4" s="192"/>
      <c r="DV4" s="192"/>
      <c r="DW4" s="192"/>
      <c r="DX4" s="192"/>
      <c r="DY4" s="192"/>
      <c r="DZ4" s="192"/>
      <c r="EA4" s="192"/>
      <c r="EB4" s="192"/>
      <c r="EC4" s="192"/>
      <c r="ED4" s="192"/>
      <c r="EE4" s="192"/>
      <c r="EF4" s="192"/>
      <c r="EG4" s="192"/>
      <c r="EH4" s="192"/>
      <c r="EI4" s="192"/>
      <c r="EJ4" s="192"/>
      <c r="EK4" s="192"/>
      <c r="EL4" s="192"/>
      <c r="EM4" s="192"/>
      <c r="EN4" s="192"/>
      <c r="EO4" s="192"/>
      <c r="EP4" s="192"/>
      <c r="EQ4" s="192"/>
      <c r="ER4" s="192"/>
      <c r="ES4" s="192"/>
      <c r="ET4" s="192"/>
      <c r="EU4" s="192"/>
      <c r="EV4" s="192"/>
      <c r="EW4" s="192"/>
      <c r="EX4" s="192"/>
      <c r="EY4" s="192"/>
      <c r="EZ4" s="192"/>
      <c r="FA4" s="192"/>
      <c r="FB4" s="192"/>
    </row>
    <row r="5" spans="1:158" x14ac:dyDescent="0.3">
      <c r="A5" s="193">
        <v>4</v>
      </c>
      <c r="B5" s="49" t="s">
        <v>206</v>
      </c>
      <c r="C5" t="str">
        <f t="shared" si="0"/>
        <v>4 WSP ICEtow</v>
      </c>
      <c r="D5" s="188">
        <v>-1</v>
      </c>
      <c r="E5" s="189" t="s">
        <v>179</v>
      </c>
      <c r="F5" s="190">
        <v>0</v>
      </c>
      <c r="G5" s="191">
        <v>0</v>
      </c>
      <c r="H5" s="191" t="s">
        <v>110</v>
      </c>
      <c r="I5" s="191" t="s">
        <v>111</v>
      </c>
      <c r="J5" s="445"/>
      <c r="K5" s="445"/>
      <c r="L5" s="445"/>
      <c r="M5" s="445"/>
      <c r="N5" s="189" t="s">
        <v>179</v>
      </c>
      <c r="O5" s="190">
        <v>0</v>
      </c>
      <c r="P5" s="191">
        <v>0</v>
      </c>
      <c r="Q5" s="191" t="s">
        <v>110</v>
      </c>
      <c r="R5" s="191" t="s">
        <v>111</v>
      </c>
      <c r="S5" s="445"/>
      <c r="T5" s="445"/>
      <c r="U5" s="449">
        <f>'Sag-Tension'!$O$35</f>
        <v>0</v>
      </c>
      <c r="V5" s="450">
        <f>'Sag-Tension'!$P$35</f>
        <v>0</v>
      </c>
      <c r="W5" s="189" t="s">
        <v>179</v>
      </c>
      <c r="X5" s="190">
        <v>0</v>
      </c>
      <c r="Y5" s="191">
        <v>0</v>
      </c>
      <c r="Z5" s="191" t="s">
        <v>110</v>
      </c>
      <c r="AA5" s="191" t="s">
        <v>111</v>
      </c>
      <c r="AB5" s="445"/>
      <c r="AC5" s="445"/>
      <c r="AD5" s="449">
        <f>'Sag-Tension'!$O$35</f>
        <v>0</v>
      </c>
      <c r="AE5" s="450">
        <f>'Sag-Tension'!$P$35</f>
        <v>0</v>
      </c>
      <c r="AF5" s="189" t="s">
        <v>179</v>
      </c>
      <c r="AG5" s="190">
        <v>0</v>
      </c>
      <c r="AH5" s="191">
        <v>0</v>
      </c>
      <c r="AI5" s="191" t="s">
        <v>110</v>
      </c>
      <c r="AJ5" s="191" t="s">
        <v>111</v>
      </c>
      <c r="AK5" s="445"/>
      <c r="AL5" s="445"/>
      <c r="AM5" s="449">
        <f>'Sag-Tension'!$O$35</f>
        <v>0</v>
      </c>
      <c r="AN5" s="450">
        <f>'Sag-Tension'!$P$35</f>
        <v>0</v>
      </c>
      <c r="AO5" s="189" t="s">
        <v>179</v>
      </c>
      <c r="AP5" s="190">
        <v>0</v>
      </c>
      <c r="AQ5" s="191">
        <v>0</v>
      </c>
      <c r="AR5" s="191" t="s">
        <v>110</v>
      </c>
      <c r="AS5" s="191" t="s">
        <v>111</v>
      </c>
      <c r="AT5" s="445"/>
      <c r="AU5" s="445"/>
      <c r="AV5" s="449">
        <f>'Sag-Tension'!$O$35</f>
        <v>0</v>
      </c>
      <c r="AW5" s="450">
        <f>'Sag-Tension'!$P$35</f>
        <v>0</v>
      </c>
      <c r="AX5" s="189" t="s">
        <v>179</v>
      </c>
      <c r="AY5" s="190">
        <v>0</v>
      </c>
      <c r="AZ5" s="191">
        <v>0</v>
      </c>
      <c r="BA5" s="191" t="s">
        <v>110</v>
      </c>
      <c r="BB5" s="191" t="s">
        <v>111</v>
      </c>
      <c r="BC5" s="445"/>
      <c r="BD5" s="445"/>
      <c r="BE5" s="449">
        <f>'Sag-Tension'!$O$35</f>
        <v>0</v>
      </c>
      <c r="BF5" s="450">
        <f>'Sag-Tension'!$P$35</f>
        <v>0</v>
      </c>
      <c r="BG5" s="189" t="s">
        <v>179</v>
      </c>
      <c r="BH5" s="190">
        <v>0</v>
      </c>
      <c r="BI5" s="191">
        <v>0</v>
      </c>
      <c r="BJ5" s="191" t="s">
        <v>110</v>
      </c>
      <c r="BK5" s="191" t="s">
        <v>111</v>
      </c>
      <c r="BL5" s="445"/>
      <c r="BM5" s="445"/>
      <c r="BN5" s="449">
        <f>'Sag-Tension'!$O$35</f>
        <v>0</v>
      </c>
      <c r="BO5" s="450">
        <f>'Sag-Tension'!$P$35</f>
        <v>0</v>
      </c>
      <c r="BP5" s="189" t="s">
        <v>179</v>
      </c>
      <c r="BQ5" s="190">
        <v>0</v>
      </c>
      <c r="BR5" s="191">
        <v>0</v>
      </c>
      <c r="BS5" s="191" t="s">
        <v>110</v>
      </c>
      <c r="BT5" s="191" t="s">
        <v>111</v>
      </c>
      <c r="BU5" s="445"/>
      <c r="BV5" s="445"/>
      <c r="BW5" s="449">
        <f>'Sag-Tension'!$O$35</f>
        <v>0</v>
      </c>
      <c r="BX5" s="450">
        <f>'Sag-Tension'!$P$35</f>
        <v>0</v>
      </c>
      <c r="BY5" s="189" t="s">
        <v>179</v>
      </c>
      <c r="BZ5" s="190">
        <v>0</v>
      </c>
      <c r="CA5" s="191">
        <v>0</v>
      </c>
      <c r="CB5" s="191" t="s">
        <v>110</v>
      </c>
      <c r="CC5" s="191" t="s">
        <v>111</v>
      </c>
      <c r="CD5" s="445"/>
      <c r="CE5" s="445"/>
      <c r="CF5" s="449">
        <f>'Sag-Tension'!$O$35</f>
        <v>0</v>
      </c>
      <c r="CG5" s="450">
        <f>'Sag-Tension'!$P$35</f>
        <v>0</v>
      </c>
      <c r="CH5" s="192"/>
      <c r="CI5" s="192"/>
      <c r="CJ5" s="192"/>
      <c r="CK5" s="192"/>
      <c r="CL5" s="192"/>
      <c r="CM5" s="192"/>
      <c r="CN5" s="192"/>
      <c r="CO5" s="192"/>
      <c r="CP5" s="192"/>
      <c r="CQ5" s="192"/>
      <c r="CR5" s="192"/>
      <c r="CS5" s="192"/>
      <c r="CT5" s="192"/>
      <c r="CU5" s="192"/>
      <c r="CV5" s="192"/>
      <c r="CW5" s="192"/>
      <c r="CX5" s="192"/>
      <c r="CY5" s="192"/>
      <c r="CZ5" s="192"/>
      <c r="DA5" s="192"/>
      <c r="DB5" s="192"/>
      <c r="DC5" s="192"/>
      <c r="DD5" s="192"/>
      <c r="DE5" s="192"/>
      <c r="DF5" s="192"/>
      <c r="DG5" s="192"/>
      <c r="DH5" s="192"/>
      <c r="DI5" s="192"/>
      <c r="DJ5" s="192"/>
      <c r="DK5" s="192"/>
      <c r="DL5" s="192"/>
      <c r="DM5" s="192"/>
      <c r="DN5" s="192"/>
      <c r="DO5" s="192"/>
      <c r="DP5" s="192"/>
      <c r="DQ5" s="192"/>
      <c r="DR5" s="192"/>
      <c r="DS5" s="192"/>
      <c r="DT5" s="192"/>
      <c r="DU5" s="192"/>
      <c r="DV5" s="192"/>
      <c r="DW5" s="192"/>
      <c r="DX5" s="192"/>
      <c r="DY5" s="192"/>
      <c r="DZ5" s="192"/>
      <c r="EA5" s="192"/>
      <c r="EB5" s="192"/>
      <c r="EC5" s="192"/>
      <c r="ED5" s="192"/>
      <c r="EE5" s="192"/>
      <c r="EF5" s="192"/>
      <c r="EG5" s="192"/>
      <c r="EH5" s="192"/>
      <c r="EI5" s="192"/>
      <c r="EJ5" s="192"/>
      <c r="EK5" s="192"/>
      <c r="EL5" s="192"/>
      <c r="EM5" s="192"/>
      <c r="EN5" s="192"/>
      <c r="EO5" s="192"/>
      <c r="EP5" s="192"/>
      <c r="EQ5" s="192"/>
      <c r="ER5" s="192"/>
      <c r="ES5" s="192"/>
      <c r="ET5" s="192"/>
      <c r="EU5" s="192"/>
      <c r="EV5" s="192"/>
      <c r="EW5" s="192"/>
      <c r="EX5" s="192"/>
      <c r="EY5" s="192"/>
      <c r="EZ5" s="192"/>
      <c r="FA5" s="192"/>
      <c r="FB5" s="192"/>
    </row>
    <row r="6" spans="1:158" x14ac:dyDescent="0.3">
      <c r="A6" s="193">
        <v>5</v>
      </c>
      <c r="B6" s="49" t="s">
        <v>207</v>
      </c>
      <c r="C6" t="str">
        <f t="shared" si="0"/>
        <v>5 Utslag old</v>
      </c>
      <c r="D6" s="188">
        <v>0</v>
      </c>
      <c r="E6" s="189" t="s">
        <v>180</v>
      </c>
      <c r="F6" s="190">
        <v>50</v>
      </c>
      <c r="G6" s="191">
        <v>0</v>
      </c>
      <c r="H6" s="191">
        <v>0</v>
      </c>
      <c r="I6" s="191" t="s">
        <v>147</v>
      </c>
      <c r="J6" s="445"/>
      <c r="K6" s="445"/>
      <c r="L6" s="445"/>
      <c r="M6" s="445"/>
      <c r="N6" s="189" t="s">
        <v>180</v>
      </c>
      <c r="O6" s="194">
        <f>'Sag-Tension'!I4</f>
        <v>50</v>
      </c>
      <c r="P6" s="191">
        <v>0</v>
      </c>
      <c r="Q6" s="191">
        <v>0</v>
      </c>
      <c r="R6" s="191" t="s">
        <v>147</v>
      </c>
      <c r="S6" s="445"/>
      <c r="T6" s="445"/>
      <c r="U6" s="445"/>
      <c r="V6" s="445"/>
      <c r="W6" s="189" t="s">
        <v>180</v>
      </c>
      <c r="X6" s="194">
        <f>'Sag-Tension'!I4</f>
        <v>50</v>
      </c>
      <c r="Y6" s="191">
        <v>0</v>
      </c>
      <c r="Z6" s="191">
        <v>0</v>
      </c>
      <c r="AA6" s="191" t="s">
        <v>147</v>
      </c>
      <c r="AB6" s="445"/>
      <c r="AC6" s="445"/>
      <c r="AD6" s="445"/>
      <c r="AE6" s="445"/>
      <c r="AF6" s="189" t="s">
        <v>180</v>
      </c>
      <c r="AG6" s="194">
        <f>'Sag-Tension'!I4</f>
        <v>50</v>
      </c>
      <c r="AH6" s="191">
        <v>0</v>
      </c>
      <c r="AI6" s="191">
        <v>0</v>
      </c>
      <c r="AJ6" s="191" t="s">
        <v>147</v>
      </c>
      <c r="AK6" s="445"/>
      <c r="AL6" s="445"/>
      <c r="AM6" s="445"/>
      <c r="AN6" s="445"/>
      <c r="AO6" s="189" t="s">
        <v>180</v>
      </c>
      <c r="AP6" s="194">
        <f>'Sag-Tension'!$I$4</f>
        <v>50</v>
      </c>
      <c r="AQ6" s="191">
        <v>0</v>
      </c>
      <c r="AR6" s="191">
        <v>0</v>
      </c>
      <c r="AS6" s="191" t="s">
        <v>147</v>
      </c>
      <c r="AT6" s="445"/>
      <c r="AU6" s="445"/>
      <c r="AV6" s="445"/>
      <c r="AW6" s="445"/>
      <c r="AX6" s="189" t="s">
        <v>180</v>
      </c>
      <c r="AY6" s="194">
        <f>'Sag-Tension'!$I$4</f>
        <v>50</v>
      </c>
      <c r="AZ6" s="191">
        <v>0</v>
      </c>
      <c r="BA6" s="191">
        <v>0</v>
      </c>
      <c r="BB6" s="191" t="s">
        <v>147</v>
      </c>
      <c r="BC6" s="445"/>
      <c r="BD6" s="445"/>
      <c r="BE6" s="445"/>
      <c r="BF6" s="445"/>
      <c r="BG6" s="189" t="s">
        <v>180</v>
      </c>
      <c r="BH6" s="194">
        <f>'Sag-Tension'!$I$4</f>
        <v>50</v>
      </c>
      <c r="BI6" s="191">
        <v>0</v>
      </c>
      <c r="BJ6" s="191">
        <v>0</v>
      </c>
      <c r="BK6" s="191" t="s">
        <v>147</v>
      </c>
      <c r="BL6" s="445"/>
      <c r="BM6" s="445"/>
      <c r="BN6" s="445"/>
      <c r="BO6" s="445"/>
      <c r="BP6" s="189" t="s">
        <v>180</v>
      </c>
      <c r="BQ6" s="194">
        <f>'Sag-Tension'!$I$4</f>
        <v>50</v>
      </c>
      <c r="BR6" s="191">
        <v>0</v>
      </c>
      <c r="BS6" s="191">
        <v>0</v>
      </c>
      <c r="BT6" s="191" t="s">
        <v>147</v>
      </c>
      <c r="BU6" s="445"/>
      <c r="BV6" s="445"/>
      <c r="BW6" s="445"/>
      <c r="BX6" s="445"/>
      <c r="BY6" s="189" t="s">
        <v>180</v>
      </c>
      <c r="BZ6" s="194">
        <f>'Sag-Tension'!$I$4</f>
        <v>50</v>
      </c>
      <c r="CA6" s="191">
        <v>0</v>
      </c>
      <c r="CB6" s="191">
        <v>0</v>
      </c>
      <c r="CC6" s="191" t="s">
        <v>147</v>
      </c>
      <c r="CD6" s="445"/>
      <c r="CE6" s="445"/>
      <c r="CF6" s="445"/>
      <c r="CG6" s="445"/>
      <c r="CH6" s="192"/>
      <c r="CI6" s="192"/>
      <c r="CJ6" s="192"/>
      <c r="CK6" s="192"/>
      <c r="CL6" s="192"/>
      <c r="CM6" s="192"/>
      <c r="CN6" s="192"/>
      <c r="CO6" s="192"/>
      <c r="CP6" s="192"/>
      <c r="CQ6" s="192"/>
      <c r="CR6" s="192"/>
      <c r="CS6" s="192"/>
      <c r="CT6" s="192"/>
      <c r="CU6" s="192"/>
      <c r="CV6" s="192"/>
      <c r="CW6" s="192"/>
      <c r="CX6" s="192"/>
      <c r="CY6" s="192"/>
      <c r="CZ6" s="192"/>
      <c r="DA6" s="192"/>
      <c r="DB6" s="192"/>
      <c r="DC6" s="192"/>
      <c r="DD6" s="192"/>
      <c r="DE6" s="192"/>
      <c r="DF6" s="192"/>
      <c r="DG6" s="192"/>
      <c r="DH6" s="192"/>
      <c r="DI6" s="192"/>
      <c r="DJ6" s="192"/>
      <c r="DK6" s="192"/>
      <c r="DL6" s="192"/>
      <c r="DM6" s="192"/>
      <c r="DN6" s="192"/>
      <c r="DO6" s="192"/>
      <c r="DP6" s="192"/>
      <c r="DQ6" s="192"/>
      <c r="DR6" s="192"/>
      <c r="DS6" s="192"/>
      <c r="DT6" s="192"/>
      <c r="DU6" s="192"/>
      <c r="DV6" s="192"/>
      <c r="DW6" s="192"/>
      <c r="DX6" s="192"/>
      <c r="DY6" s="192"/>
      <c r="DZ6" s="192"/>
      <c r="EA6" s="192"/>
      <c r="EB6" s="192"/>
      <c r="EC6" s="192"/>
      <c r="ED6" s="192"/>
      <c r="EE6" s="192"/>
      <c r="EF6" s="192"/>
      <c r="EG6" s="192"/>
      <c r="EH6" s="192"/>
      <c r="EI6" s="192"/>
      <c r="EJ6" s="192"/>
      <c r="EK6" s="192"/>
      <c r="EL6" s="192"/>
      <c r="EM6" s="192"/>
      <c r="EN6" s="192"/>
      <c r="EO6" s="192"/>
      <c r="EP6" s="192"/>
      <c r="EQ6" s="192"/>
      <c r="ER6" s="192"/>
      <c r="ES6" s="192"/>
      <c r="ET6" s="192"/>
      <c r="EU6" s="192"/>
      <c r="EV6" s="192"/>
      <c r="EW6" s="192"/>
      <c r="EX6" s="192"/>
      <c r="EY6" s="192"/>
      <c r="EZ6" s="192"/>
      <c r="FA6" s="192"/>
      <c r="FB6" s="192"/>
    </row>
    <row r="7" spans="1:158" s="49" customFormat="1" x14ac:dyDescent="0.3">
      <c r="A7" s="193">
        <v>6</v>
      </c>
      <c r="B7" s="49" t="s">
        <v>324</v>
      </c>
      <c r="C7" t="str">
        <f t="shared" si="0"/>
        <v>6 Lastberäkning</v>
      </c>
      <c r="D7" s="195">
        <v>1</v>
      </c>
      <c r="E7" s="196" t="s">
        <v>325</v>
      </c>
      <c r="F7" s="197">
        <v>0</v>
      </c>
      <c r="G7" s="198" t="s">
        <v>149</v>
      </c>
      <c r="H7" s="198" t="s">
        <v>326</v>
      </c>
      <c r="I7" s="198" t="s">
        <v>111</v>
      </c>
      <c r="J7" s="446"/>
      <c r="K7" s="446"/>
      <c r="L7" s="446"/>
      <c r="M7" s="446"/>
      <c r="N7" s="196" t="s">
        <v>231</v>
      </c>
      <c r="O7" s="199">
        <f>'Sag-Tension'!I3</f>
        <v>-40</v>
      </c>
      <c r="P7" s="198">
        <v>0</v>
      </c>
      <c r="Q7" s="198">
        <v>0</v>
      </c>
      <c r="R7" s="198" t="s">
        <v>111</v>
      </c>
      <c r="S7" s="446"/>
      <c r="T7" s="446"/>
      <c r="U7" s="446"/>
      <c r="V7" s="446"/>
      <c r="W7" s="196" t="s">
        <v>208</v>
      </c>
      <c r="X7" s="197">
        <v>0</v>
      </c>
      <c r="Y7" s="198">
        <v>0</v>
      </c>
      <c r="Z7" s="198">
        <v>0</v>
      </c>
      <c r="AA7" s="198" t="s">
        <v>147</v>
      </c>
      <c r="AB7" s="446"/>
      <c r="AC7" s="446"/>
      <c r="AD7" s="446"/>
      <c r="AE7" s="446"/>
      <c r="AF7" s="196"/>
      <c r="AG7" s="197">
        <v>30</v>
      </c>
      <c r="AH7" s="198"/>
      <c r="AI7" s="198"/>
      <c r="AJ7" s="198" t="s">
        <v>111</v>
      </c>
      <c r="AK7" s="446"/>
      <c r="AL7" s="446"/>
      <c r="AM7" s="446"/>
      <c r="AN7" s="446"/>
      <c r="AO7" s="196" t="s">
        <v>209</v>
      </c>
      <c r="AP7" s="197">
        <v>0</v>
      </c>
      <c r="AQ7" s="198" t="s">
        <v>110</v>
      </c>
      <c r="AR7" s="198" t="s">
        <v>110</v>
      </c>
      <c r="AS7" s="198" t="s">
        <v>111</v>
      </c>
      <c r="AT7" s="447">
        <f>'Sag-Tension'!$M$35</f>
        <v>0</v>
      </c>
      <c r="AU7" s="447">
        <f>'Sag-Tension'!$N$35</f>
        <v>0</v>
      </c>
      <c r="AV7" s="449">
        <f>'Sag-Tension'!$O$35</f>
        <v>0</v>
      </c>
      <c r="AW7" s="450">
        <f>'Sag-Tension'!$P$35</f>
        <v>0</v>
      </c>
      <c r="AX7" s="196">
        <v>9</v>
      </c>
      <c r="AY7" s="197">
        <v>15</v>
      </c>
      <c r="AZ7" s="198">
        <v>0</v>
      </c>
      <c r="BA7" s="198">
        <v>0</v>
      </c>
      <c r="BB7" s="198" t="s">
        <v>147</v>
      </c>
      <c r="BC7" s="446"/>
      <c r="BD7" s="446"/>
      <c r="BE7" s="446"/>
      <c r="BF7" s="446"/>
      <c r="BG7" s="196" t="s">
        <v>325</v>
      </c>
      <c r="BH7" s="197">
        <v>0</v>
      </c>
      <c r="BI7" s="198" t="s">
        <v>149</v>
      </c>
      <c r="BJ7" s="198" t="s">
        <v>326</v>
      </c>
      <c r="BK7" s="198" t="s">
        <v>111</v>
      </c>
      <c r="BL7" s="448">
        <f>'Sag-Tension'!$M$36</f>
        <v>0</v>
      </c>
      <c r="BM7" s="448">
        <f>'Sag-Tension'!$N$36</f>
        <v>0</v>
      </c>
      <c r="BN7" s="446"/>
      <c r="BO7" s="446"/>
      <c r="BP7" s="196"/>
      <c r="BQ7" s="197"/>
      <c r="BR7" s="198"/>
      <c r="BS7" s="198"/>
      <c r="BT7" s="198"/>
      <c r="BU7" s="446"/>
      <c r="BV7" s="446"/>
      <c r="BW7" s="446"/>
      <c r="BX7" s="446"/>
      <c r="BY7" s="196"/>
      <c r="BZ7" s="197"/>
      <c r="CA7" s="198"/>
      <c r="CB7" s="198"/>
      <c r="CC7" s="198"/>
      <c r="CD7" s="446"/>
      <c r="CE7" s="446"/>
      <c r="CF7" s="446"/>
      <c r="CG7" s="446"/>
    </row>
    <row r="8" spans="1:158" s="49" customFormat="1" x14ac:dyDescent="0.3">
      <c r="A8" s="193">
        <v>7</v>
      </c>
      <c r="C8" t="str">
        <f t="shared" ref="C8:C31" si="1">CONCATENATE(A8," ",B8)</f>
        <v xml:space="preserve">7 </v>
      </c>
      <c r="D8" s="195">
        <v>2</v>
      </c>
      <c r="E8" s="196" t="s">
        <v>327</v>
      </c>
      <c r="F8" s="197">
        <v>0</v>
      </c>
      <c r="G8" s="198" t="s">
        <v>326</v>
      </c>
      <c r="H8" s="198" t="s">
        <v>110</v>
      </c>
      <c r="I8" s="198" t="s">
        <v>111</v>
      </c>
      <c r="J8" s="446"/>
      <c r="K8" s="446"/>
      <c r="L8" s="446"/>
      <c r="M8" s="446"/>
      <c r="N8" s="196" t="s">
        <v>221</v>
      </c>
      <c r="O8" s="200">
        <f>'Sag-Tension'!I3+20</f>
        <v>-20</v>
      </c>
      <c r="P8" s="198" t="s">
        <v>110</v>
      </c>
      <c r="Q8" s="198">
        <v>0</v>
      </c>
      <c r="R8" s="198" t="s">
        <v>111</v>
      </c>
      <c r="S8" s="447">
        <f>'Sag-Tension'!$M$35</f>
        <v>0</v>
      </c>
      <c r="T8" s="447">
        <f>'Sag-Tension'!$N$35</f>
        <v>0</v>
      </c>
      <c r="U8" s="446"/>
      <c r="V8" s="446"/>
      <c r="W8" s="196" t="s">
        <v>147</v>
      </c>
      <c r="X8" s="197">
        <v>0</v>
      </c>
      <c r="Y8" s="198" t="s">
        <v>110</v>
      </c>
      <c r="Z8" s="198" t="s">
        <v>110</v>
      </c>
      <c r="AA8" s="201" t="s">
        <v>111</v>
      </c>
      <c r="AB8" s="447">
        <f>'Sag-Tension'!$M$35</f>
        <v>0</v>
      </c>
      <c r="AC8" s="447">
        <f>'Sag-Tension'!$N$35</f>
        <v>0</v>
      </c>
      <c r="AD8" s="449">
        <f>'Sag-Tension'!$O$35</f>
        <v>0</v>
      </c>
      <c r="AE8" s="450">
        <f>'Sag-Tension'!$P$35</f>
        <v>0</v>
      </c>
      <c r="AF8" s="196"/>
      <c r="AG8" s="197">
        <v>25</v>
      </c>
      <c r="AH8" s="198"/>
      <c r="AI8" s="198"/>
      <c r="AJ8" s="198" t="s">
        <v>111</v>
      </c>
      <c r="AK8" s="446"/>
      <c r="AL8" s="446"/>
      <c r="AM8" s="446"/>
      <c r="AN8" s="446"/>
      <c r="AO8" s="196" t="s">
        <v>210</v>
      </c>
      <c r="AP8" s="197">
        <v>0</v>
      </c>
      <c r="AQ8" s="198" t="s">
        <v>110</v>
      </c>
      <c r="AR8" s="198" t="s">
        <v>110</v>
      </c>
      <c r="AS8" s="198" t="s">
        <v>147</v>
      </c>
      <c r="AT8" s="447">
        <f>'Sag-Tension'!$M$35</f>
        <v>0</v>
      </c>
      <c r="AU8" s="447">
        <f>'Sag-Tension'!$N$35</f>
        <v>0</v>
      </c>
      <c r="AV8" s="449">
        <f>'Sag-Tension'!$O$35</f>
        <v>0</v>
      </c>
      <c r="AW8" s="450">
        <f>'Sag-Tension'!$P$35</f>
        <v>0</v>
      </c>
      <c r="AX8" s="196" t="s">
        <v>211</v>
      </c>
      <c r="AY8" s="197">
        <v>15</v>
      </c>
      <c r="AZ8" s="198" t="s">
        <v>148</v>
      </c>
      <c r="BA8" s="198">
        <v>0</v>
      </c>
      <c r="BB8" s="198" t="s">
        <v>111</v>
      </c>
      <c r="BC8" s="447">
        <f>'Sag-Tension'!$M$35</f>
        <v>0</v>
      </c>
      <c r="BD8" s="447">
        <f>'Sag-Tension'!$N$35</f>
        <v>0</v>
      </c>
      <c r="BE8" s="446"/>
      <c r="BF8" s="446"/>
      <c r="BG8" s="196" t="s">
        <v>327</v>
      </c>
      <c r="BH8" s="197">
        <v>0</v>
      </c>
      <c r="BI8" s="198" t="s">
        <v>326</v>
      </c>
      <c r="BJ8" s="198" t="s">
        <v>110</v>
      </c>
      <c r="BK8" s="198" t="s">
        <v>111</v>
      </c>
      <c r="BL8" s="446"/>
      <c r="BM8" s="446"/>
      <c r="BN8" s="449">
        <f>'Sag-Tension'!$O$35</f>
        <v>0</v>
      </c>
      <c r="BO8" s="450">
        <f>'Sag-Tension'!$P$35</f>
        <v>0</v>
      </c>
      <c r="BP8" s="196"/>
      <c r="BQ8" s="197"/>
      <c r="BR8" s="198"/>
      <c r="BS8" s="198"/>
      <c r="BT8" s="198"/>
      <c r="BU8" s="446"/>
      <c r="BV8" s="446"/>
      <c r="BW8" s="446"/>
      <c r="BX8" s="446"/>
      <c r="BY8" s="196"/>
      <c r="BZ8" s="197"/>
      <c r="CA8" s="198"/>
      <c r="CB8" s="198"/>
      <c r="CC8" s="198"/>
      <c r="CD8" s="446"/>
      <c r="CE8" s="446"/>
      <c r="CF8" s="446"/>
      <c r="CG8" s="446"/>
    </row>
    <row r="9" spans="1:158" s="49" customFormat="1" x14ac:dyDescent="0.3">
      <c r="A9" s="193">
        <v>8</v>
      </c>
      <c r="C9" t="str">
        <f t="shared" si="1"/>
        <v xml:space="preserve">8 </v>
      </c>
      <c r="D9" s="195">
        <v>3</v>
      </c>
      <c r="E9" s="196" t="s">
        <v>328</v>
      </c>
      <c r="F9" s="197">
        <v>0</v>
      </c>
      <c r="G9" s="198" t="s">
        <v>110</v>
      </c>
      <c r="H9" s="198" t="s">
        <v>110</v>
      </c>
      <c r="I9" s="198" t="s">
        <v>111</v>
      </c>
      <c r="J9" s="446"/>
      <c r="K9" s="446"/>
      <c r="L9" s="446"/>
      <c r="M9" s="446"/>
      <c r="N9" s="196" t="s">
        <v>149</v>
      </c>
      <c r="O9" s="197">
        <v>15</v>
      </c>
      <c r="P9" s="198" t="s">
        <v>148</v>
      </c>
      <c r="Q9" s="198">
        <v>0</v>
      </c>
      <c r="R9" s="198" t="s">
        <v>111</v>
      </c>
      <c r="S9" s="447">
        <f>'Sag-Tension'!$M$35</f>
        <v>0</v>
      </c>
      <c r="T9" s="447">
        <f>'Sag-Tension'!$N$35</f>
        <v>0</v>
      </c>
      <c r="U9" s="446"/>
      <c r="V9" s="446"/>
      <c r="W9" s="196" t="s">
        <v>147</v>
      </c>
      <c r="X9" s="197">
        <v>0</v>
      </c>
      <c r="Y9" s="198" t="s">
        <v>199</v>
      </c>
      <c r="Z9" s="198" t="s">
        <v>110</v>
      </c>
      <c r="AA9" s="201" t="s">
        <v>111</v>
      </c>
      <c r="AB9" s="447">
        <f>'Sag-Tension'!$M$35</f>
        <v>0</v>
      </c>
      <c r="AC9" s="447">
        <f>'Sag-Tension'!$N$35</f>
        <v>0</v>
      </c>
      <c r="AD9" s="449">
        <f>'Sag-Tension'!$O$35</f>
        <v>0</v>
      </c>
      <c r="AE9" s="450">
        <f>'Sag-Tension'!$P$35</f>
        <v>0</v>
      </c>
      <c r="AF9" s="196"/>
      <c r="AG9" s="197">
        <v>20</v>
      </c>
      <c r="AH9" s="198"/>
      <c r="AI9" s="198"/>
      <c r="AJ9" s="198" t="s">
        <v>111</v>
      </c>
      <c r="AK9" s="446"/>
      <c r="AL9" s="446"/>
      <c r="AM9" s="446"/>
      <c r="AN9" s="446"/>
      <c r="AO9" s="196" t="s">
        <v>212</v>
      </c>
      <c r="AP9" s="197">
        <v>15</v>
      </c>
      <c r="AQ9" s="198" t="s">
        <v>110</v>
      </c>
      <c r="AR9" s="198"/>
      <c r="AS9" s="198" t="s">
        <v>147</v>
      </c>
      <c r="AT9" s="447">
        <f>'Sag-Tension'!$M$35</f>
        <v>0</v>
      </c>
      <c r="AU9" s="447">
        <f>'Sag-Tension'!$N$35</f>
        <v>0</v>
      </c>
      <c r="AV9" s="446"/>
      <c r="AW9" s="446"/>
      <c r="AX9" s="196" t="s">
        <v>213</v>
      </c>
      <c r="AY9" s="197">
        <v>15</v>
      </c>
      <c r="AZ9" s="198" t="s">
        <v>148</v>
      </c>
      <c r="BA9" s="198">
        <v>0</v>
      </c>
      <c r="BB9" s="198" t="s">
        <v>147</v>
      </c>
      <c r="BC9" s="447">
        <f>'Sag-Tension'!$M$35</f>
        <v>0</v>
      </c>
      <c r="BD9" s="447">
        <f>'Sag-Tension'!$N$35</f>
        <v>0</v>
      </c>
      <c r="BE9" s="446"/>
      <c r="BF9" s="446"/>
      <c r="BG9" s="196" t="s">
        <v>328</v>
      </c>
      <c r="BH9" s="197">
        <v>0</v>
      </c>
      <c r="BI9" s="198" t="s">
        <v>110</v>
      </c>
      <c r="BJ9" s="198" t="s">
        <v>110</v>
      </c>
      <c r="BK9" s="198" t="s">
        <v>111</v>
      </c>
      <c r="BL9" s="447">
        <f>'Sag-Tension'!$M$35</f>
        <v>0</v>
      </c>
      <c r="BM9" s="447">
        <f>'Sag-Tension'!$N$35</f>
        <v>0</v>
      </c>
      <c r="BN9" s="449">
        <f>'Sag-Tension'!$O$35</f>
        <v>0</v>
      </c>
      <c r="BO9" s="450">
        <f>'Sag-Tension'!$P$35</f>
        <v>0</v>
      </c>
      <c r="BP9" s="196"/>
      <c r="BQ9" s="197"/>
      <c r="BR9" s="198"/>
      <c r="BS9" s="198"/>
      <c r="BT9" s="198"/>
      <c r="BU9" s="446"/>
      <c r="BV9" s="446"/>
      <c r="BW9" s="446"/>
      <c r="BX9" s="446"/>
      <c r="BY9" s="196"/>
      <c r="BZ9" s="197"/>
      <c r="CA9" s="198"/>
      <c r="CB9" s="198"/>
      <c r="CC9" s="198"/>
      <c r="CD9" s="446"/>
      <c r="CE9" s="446"/>
      <c r="CF9" s="446"/>
      <c r="CG9" s="446"/>
    </row>
    <row r="10" spans="1:158" s="49" customFormat="1" x14ac:dyDescent="0.3">
      <c r="A10" s="193">
        <v>9</v>
      </c>
      <c r="C10" t="str">
        <f t="shared" si="1"/>
        <v xml:space="preserve">9 </v>
      </c>
      <c r="D10" s="195">
        <v>4</v>
      </c>
      <c r="E10" s="196" t="s">
        <v>329</v>
      </c>
      <c r="F10" s="197">
        <v>-40</v>
      </c>
      <c r="G10" s="198">
        <v>0</v>
      </c>
      <c r="H10" s="198">
        <v>0</v>
      </c>
      <c r="I10" s="198" t="s">
        <v>111</v>
      </c>
      <c r="J10" s="446"/>
      <c r="K10" s="446"/>
      <c r="L10" s="446"/>
      <c r="M10" s="446"/>
      <c r="N10" s="196"/>
      <c r="O10" s="197">
        <v>0</v>
      </c>
      <c r="P10" s="198">
        <v>0</v>
      </c>
      <c r="Q10" s="198" t="s">
        <v>110</v>
      </c>
      <c r="R10" s="198" t="s">
        <v>111</v>
      </c>
      <c r="S10" s="446"/>
      <c r="T10" s="446"/>
      <c r="U10" s="449">
        <f>'Sag-Tension'!$O$35</f>
        <v>0</v>
      </c>
      <c r="V10" s="450">
        <f>'Sag-Tension'!$P$35</f>
        <v>0</v>
      </c>
      <c r="W10" s="196" t="s">
        <v>111</v>
      </c>
      <c r="X10" s="197">
        <v>0</v>
      </c>
      <c r="Y10" s="198" t="s">
        <v>110</v>
      </c>
      <c r="Z10" s="198" t="s">
        <v>110</v>
      </c>
      <c r="AA10" s="198" t="s">
        <v>147</v>
      </c>
      <c r="AB10" s="447">
        <f>'Sag-Tension'!$M$35</f>
        <v>0</v>
      </c>
      <c r="AC10" s="447">
        <f>'Sag-Tension'!$N$35</f>
        <v>0</v>
      </c>
      <c r="AD10" s="449">
        <f>'Sag-Tension'!$O$35</f>
        <v>0</v>
      </c>
      <c r="AE10" s="450">
        <f>'Sag-Tension'!$P$35</f>
        <v>0</v>
      </c>
      <c r="AF10" s="196"/>
      <c r="AG10" s="197">
        <v>15</v>
      </c>
      <c r="AH10" s="198"/>
      <c r="AI10" s="198"/>
      <c r="AJ10" s="198" t="s">
        <v>111</v>
      </c>
      <c r="AK10" s="446"/>
      <c r="AL10" s="446"/>
      <c r="AM10" s="446"/>
      <c r="AN10" s="446"/>
      <c r="AO10" s="196" t="s">
        <v>214</v>
      </c>
      <c r="AP10" s="200">
        <f>'Sag-Tension'!$I$3+20</f>
        <v>-20</v>
      </c>
      <c r="AQ10" s="198" t="s">
        <v>110</v>
      </c>
      <c r="AR10" s="198"/>
      <c r="AS10" s="198" t="s">
        <v>111</v>
      </c>
      <c r="AT10" s="447">
        <f>'Sag-Tension'!$M$35</f>
        <v>0</v>
      </c>
      <c r="AU10" s="447">
        <f>'Sag-Tension'!$N$35</f>
        <v>0</v>
      </c>
      <c r="AV10" s="446"/>
      <c r="AW10" s="446"/>
      <c r="AX10" s="196" t="s">
        <v>211</v>
      </c>
      <c r="AY10" s="197">
        <v>15</v>
      </c>
      <c r="AZ10" s="198" t="s">
        <v>200</v>
      </c>
      <c r="BA10" s="198">
        <v>0</v>
      </c>
      <c r="BB10" s="198" t="s">
        <v>111</v>
      </c>
      <c r="BC10" s="447">
        <f>'Sag-Tension'!$M$35</f>
        <v>0</v>
      </c>
      <c r="BD10" s="447">
        <f>'Sag-Tension'!$N$35</f>
        <v>0</v>
      </c>
      <c r="BE10" s="446"/>
      <c r="BF10" s="446"/>
      <c r="BG10" s="196" t="s">
        <v>329</v>
      </c>
      <c r="BH10" s="199">
        <f>'Sag-Tension'!$I$3</f>
        <v>-40</v>
      </c>
      <c r="BI10" s="198">
        <v>0</v>
      </c>
      <c r="BJ10" s="198">
        <v>0</v>
      </c>
      <c r="BK10" s="198" t="s">
        <v>111</v>
      </c>
      <c r="BL10" s="446"/>
      <c r="BM10" s="446"/>
      <c r="BN10" s="446"/>
      <c r="BO10" s="446"/>
      <c r="BP10" s="196"/>
      <c r="BQ10" s="197"/>
      <c r="BR10" s="198"/>
      <c r="BS10" s="198"/>
      <c r="BT10" s="198"/>
      <c r="BU10" s="446"/>
      <c r="BV10" s="446"/>
      <c r="BW10" s="446"/>
      <c r="BX10" s="446"/>
      <c r="BY10" s="196"/>
      <c r="BZ10" s="197"/>
      <c r="CA10" s="198"/>
      <c r="CB10" s="198"/>
      <c r="CC10" s="198"/>
      <c r="CD10" s="446"/>
      <c r="CE10" s="446"/>
      <c r="CF10" s="446"/>
      <c r="CG10" s="446"/>
    </row>
    <row r="11" spans="1:158" s="49" customFormat="1" x14ac:dyDescent="0.3">
      <c r="A11" s="193">
        <v>10</v>
      </c>
      <c r="C11" t="str">
        <f t="shared" si="1"/>
        <v xml:space="preserve">10 </v>
      </c>
      <c r="D11" s="195">
        <v>5</v>
      </c>
      <c r="E11" s="196" t="s">
        <v>330</v>
      </c>
      <c r="F11" s="197">
        <v>-20</v>
      </c>
      <c r="G11" s="198" t="s">
        <v>110</v>
      </c>
      <c r="H11" s="198">
        <v>0</v>
      </c>
      <c r="I11" s="198" t="s">
        <v>111</v>
      </c>
      <c r="J11" s="446"/>
      <c r="K11" s="446"/>
      <c r="L11" s="446"/>
      <c r="M11" s="446"/>
      <c r="N11" s="196" t="s">
        <v>147</v>
      </c>
      <c r="O11" s="197">
        <v>0</v>
      </c>
      <c r="P11" s="198" t="s">
        <v>110</v>
      </c>
      <c r="Q11" s="198" t="s">
        <v>110</v>
      </c>
      <c r="R11" s="198" t="s">
        <v>111</v>
      </c>
      <c r="S11" s="447">
        <f>'Sag-Tension'!$M$35</f>
        <v>0</v>
      </c>
      <c r="T11" s="447">
        <f>'Sag-Tension'!$N$35</f>
        <v>0</v>
      </c>
      <c r="U11" s="449">
        <f>'Sag-Tension'!$O$35</f>
        <v>0</v>
      </c>
      <c r="V11" s="450">
        <f>'Sag-Tension'!$P$35</f>
        <v>0</v>
      </c>
      <c r="W11" s="196" t="s">
        <v>111</v>
      </c>
      <c r="X11" s="197">
        <v>0</v>
      </c>
      <c r="Y11" s="198" t="s">
        <v>199</v>
      </c>
      <c r="Z11" s="198" t="s">
        <v>110</v>
      </c>
      <c r="AA11" s="198" t="s">
        <v>147</v>
      </c>
      <c r="AB11" s="447">
        <f>'Sag-Tension'!$M$35</f>
        <v>0</v>
      </c>
      <c r="AC11" s="447">
        <f>'Sag-Tension'!$N$35</f>
        <v>0</v>
      </c>
      <c r="AD11" s="449">
        <f>'Sag-Tension'!$O$35</f>
        <v>0</v>
      </c>
      <c r="AE11" s="450">
        <f>'Sag-Tension'!$P$35</f>
        <v>0</v>
      </c>
      <c r="AF11" s="196"/>
      <c r="AG11" s="197">
        <v>10</v>
      </c>
      <c r="AH11" s="198"/>
      <c r="AI11" s="198"/>
      <c r="AJ11" s="198" t="s">
        <v>111</v>
      </c>
      <c r="AK11" s="446"/>
      <c r="AL11" s="446"/>
      <c r="AM11" s="446"/>
      <c r="AN11" s="446"/>
      <c r="AO11" s="196" t="s">
        <v>215</v>
      </c>
      <c r="AP11" s="197">
        <v>15</v>
      </c>
      <c r="AQ11" s="198" t="s">
        <v>148</v>
      </c>
      <c r="AR11" s="198"/>
      <c r="AS11" s="198" t="s">
        <v>111</v>
      </c>
      <c r="AT11" s="447">
        <f>'Sag-Tension'!$M$35</f>
        <v>0</v>
      </c>
      <c r="AU11" s="447">
        <f>'Sag-Tension'!$N$35</f>
        <v>0</v>
      </c>
      <c r="AV11" s="446"/>
      <c r="AW11" s="446"/>
      <c r="AX11" s="196" t="s">
        <v>213</v>
      </c>
      <c r="AY11" s="197">
        <v>15</v>
      </c>
      <c r="AZ11" s="198" t="s">
        <v>200</v>
      </c>
      <c r="BA11" s="198">
        <v>0</v>
      </c>
      <c r="BB11" s="198" t="s">
        <v>147</v>
      </c>
      <c r="BC11" s="447">
        <f>'Sag-Tension'!$M$35</f>
        <v>0</v>
      </c>
      <c r="BD11" s="447">
        <f>'Sag-Tension'!$N$35</f>
        <v>0</v>
      </c>
      <c r="BE11" s="446"/>
      <c r="BF11" s="446"/>
      <c r="BG11" s="196" t="s">
        <v>330</v>
      </c>
      <c r="BH11" s="200">
        <f>'Sag-Tension'!$I$3+20</f>
        <v>-20</v>
      </c>
      <c r="BI11" s="198" t="s">
        <v>110</v>
      </c>
      <c r="BJ11" s="198">
        <v>0</v>
      </c>
      <c r="BK11" s="198" t="s">
        <v>111</v>
      </c>
      <c r="BL11" s="447">
        <f>'Sag-Tension'!$M$35</f>
        <v>0</v>
      </c>
      <c r="BM11" s="447">
        <f>'Sag-Tension'!$N$35</f>
        <v>0</v>
      </c>
      <c r="BN11" s="446"/>
      <c r="BO11" s="446"/>
      <c r="BP11" s="196"/>
      <c r="BQ11" s="197"/>
      <c r="BR11" s="198"/>
      <c r="BS11" s="198"/>
      <c r="BT11" s="198"/>
      <c r="BU11" s="446"/>
      <c r="BV11" s="446"/>
      <c r="BW11" s="446"/>
      <c r="BX11" s="446"/>
      <c r="BY11" s="196"/>
      <c r="BZ11" s="197"/>
      <c r="CA11" s="198"/>
      <c r="CB11" s="198"/>
      <c r="CC11" s="198"/>
      <c r="CD11" s="446"/>
      <c r="CE11" s="446"/>
      <c r="CF11" s="446"/>
      <c r="CG11" s="446"/>
    </row>
    <row r="12" spans="1:158" s="49" customFormat="1" x14ac:dyDescent="0.3">
      <c r="A12" s="193">
        <v>11</v>
      </c>
      <c r="C12" t="str">
        <f t="shared" si="1"/>
        <v xml:space="preserve">11 </v>
      </c>
      <c r="D12" s="195">
        <v>6</v>
      </c>
      <c r="E12" s="196" t="s">
        <v>411</v>
      </c>
      <c r="F12" s="197">
        <v>-20</v>
      </c>
      <c r="G12" s="198" t="s">
        <v>326</v>
      </c>
      <c r="H12" s="198" t="s">
        <v>326</v>
      </c>
      <c r="I12" s="198" t="s">
        <v>111</v>
      </c>
      <c r="J12" s="446"/>
      <c r="K12" s="446"/>
      <c r="L12" s="446"/>
      <c r="M12" s="446"/>
      <c r="N12" s="196"/>
      <c r="O12" s="197">
        <v>0</v>
      </c>
      <c r="P12" s="198" t="s">
        <v>149</v>
      </c>
      <c r="Q12" s="198">
        <v>0</v>
      </c>
      <c r="R12" s="198" t="s">
        <v>111</v>
      </c>
      <c r="S12" s="448">
        <f>'Sag-Tension'!$M$36</f>
        <v>0</v>
      </c>
      <c r="T12" s="448">
        <f>'Sag-Tension'!$N$36</f>
        <v>0</v>
      </c>
      <c r="U12" s="446"/>
      <c r="V12" s="446"/>
      <c r="W12" s="196" t="s">
        <v>216</v>
      </c>
      <c r="X12" s="197">
        <v>15</v>
      </c>
      <c r="Y12" s="198" t="s">
        <v>110</v>
      </c>
      <c r="Z12" s="198">
        <v>0</v>
      </c>
      <c r="AA12" s="198" t="s">
        <v>147</v>
      </c>
      <c r="AB12" s="447">
        <f>'Sag-Tension'!$M$35</f>
        <v>0</v>
      </c>
      <c r="AC12" s="447">
        <f>'Sag-Tension'!$N$35</f>
        <v>0</v>
      </c>
      <c r="AD12" s="446"/>
      <c r="AE12" s="446"/>
      <c r="AF12" s="196"/>
      <c r="AG12" s="197">
        <v>5</v>
      </c>
      <c r="AH12" s="198"/>
      <c r="AI12" s="198"/>
      <c r="AJ12" s="198" t="s">
        <v>111</v>
      </c>
      <c r="AK12" s="446"/>
      <c r="AL12" s="446"/>
      <c r="AM12" s="446"/>
      <c r="AN12" s="446"/>
      <c r="AO12" s="196" t="s">
        <v>217</v>
      </c>
      <c r="AP12" s="197">
        <v>15</v>
      </c>
      <c r="AQ12" s="198" t="s">
        <v>148</v>
      </c>
      <c r="AR12" s="198"/>
      <c r="AS12" s="198" t="s">
        <v>147</v>
      </c>
      <c r="AT12" s="447">
        <f>'Sag-Tension'!$M$35</f>
        <v>0</v>
      </c>
      <c r="AU12" s="447">
        <f>'Sag-Tension'!$N$35</f>
        <v>0</v>
      </c>
      <c r="AV12" s="446"/>
      <c r="AW12" s="446"/>
      <c r="AX12" s="196" t="s">
        <v>218</v>
      </c>
      <c r="AY12" s="197">
        <v>0</v>
      </c>
      <c r="AZ12" s="198" t="s">
        <v>110</v>
      </c>
      <c r="BA12" s="198" t="s">
        <v>110</v>
      </c>
      <c r="BB12" s="198" t="s">
        <v>111</v>
      </c>
      <c r="BC12" s="447">
        <f>'Sag-Tension'!$M$35</f>
        <v>0</v>
      </c>
      <c r="BD12" s="447">
        <f>'Sag-Tension'!$N$35</f>
        <v>0</v>
      </c>
      <c r="BE12" s="449">
        <f>'Sag-Tension'!$O$35</f>
        <v>0</v>
      </c>
      <c r="BF12" s="450">
        <f>'Sag-Tension'!$P$35</f>
        <v>0</v>
      </c>
      <c r="BG12" s="196" t="s">
        <v>411</v>
      </c>
      <c r="BH12" s="197">
        <v>-20</v>
      </c>
      <c r="BI12" s="198" t="s">
        <v>326</v>
      </c>
      <c r="BJ12" s="198" t="s">
        <v>326</v>
      </c>
      <c r="BK12" s="198" t="s">
        <v>111</v>
      </c>
      <c r="BL12" s="446"/>
      <c r="BM12" s="446"/>
      <c r="BN12" s="446"/>
      <c r="BO12" s="446"/>
      <c r="BP12" s="196"/>
      <c r="BQ12" s="197"/>
      <c r="BR12" s="198"/>
      <c r="BS12" s="198"/>
      <c r="BT12" s="198"/>
      <c r="BU12" s="446"/>
      <c r="BV12" s="446"/>
      <c r="BW12" s="446"/>
      <c r="BX12" s="446"/>
      <c r="BY12" s="196"/>
      <c r="BZ12" s="197"/>
      <c r="CA12" s="198"/>
      <c r="CB12" s="198"/>
      <c r="CC12" s="198"/>
      <c r="CD12" s="446"/>
      <c r="CE12" s="446"/>
      <c r="CF12" s="446"/>
      <c r="CG12" s="446"/>
    </row>
    <row r="13" spans="1:158" s="49" customFormat="1" x14ac:dyDescent="0.3">
      <c r="A13" s="193">
        <v>12</v>
      </c>
      <c r="C13" t="str">
        <f t="shared" si="1"/>
        <v xml:space="preserve">12 </v>
      </c>
      <c r="D13" s="195">
        <v>7</v>
      </c>
      <c r="E13" s="196"/>
      <c r="F13" s="197"/>
      <c r="G13" s="198"/>
      <c r="H13" s="198"/>
      <c r="I13" s="198"/>
      <c r="J13" s="446"/>
      <c r="K13" s="446"/>
      <c r="L13" s="446"/>
      <c r="M13" s="446"/>
      <c r="N13" s="196" t="s">
        <v>237</v>
      </c>
      <c r="O13" s="197">
        <v>0</v>
      </c>
      <c r="P13" s="198">
        <v>0</v>
      </c>
      <c r="Q13" s="198">
        <v>0</v>
      </c>
      <c r="R13" s="198" t="s">
        <v>111</v>
      </c>
      <c r="S13" s="446"/>
      <c r="T13" s="446"/>
      <c r="U13" s="446"/>
      <c r="V13" s="446"/>
      <c r="W13" s="196" t="s">
        <v>216</v>
      </c>
      <c r="X13" s="197">
        <v>15</v>
      </c>
      <c r="Y13" s="198" t="s">
        <v>199</v>
      </c>
      <c r="Z13" s="198">
        <v>0</v>
      </c>
      <c r="AA13" s="198" t="s">
        <v>147</v>
      </c>
      <c r="AB13" s="447">
        <f>'Sag-Tension'!$M$35</f>
        <v>0</v>
      </c>
      <c r="AC13" s="447">
        <f>'Sag-Tension'!$N$35</f>
        <v>0</v>
      </c>
      <c r="AD13" s="446"/>
      <c r="AE13" s="446"/>
      <c r="AF13" s="196"/>
      <c r="AG13" s="197">
        <v>0</v>
      </c>
      <c r="AH13" s="198"/>
      <c r="AI13" s="198"/>
      <c r="AJ13" s="198" t="s">
        <v>111</v>
      </c>
      <c r="AK13" s="446"/>
      <c r="AL13" s="446"/>
      <c r="AM13" s="446"/>
      <c r="AN13" s="446"/>
      <c r="AO13" s="196" t="s">
        <v>219</v>
      </c>
      <c r="AP13" s="197">
        <v>15</v>
      </c>
      <c r="AQ13" s="198"/>
      <c r="AR13" s="198"/>
      <c r="AS13" s="198" t="s">
        <v>147</v>
      </c>
      <c r="AT13" s="446"/>
      <c r="AU13" s="446"/>
      <c r="AV13" s="446"/>
      <c r="AW13" s="446"/>
      <c r="AX13" s="196" t="s">
        <v>220</v>
      </c>
      <c r="AY13" s="197">
        <v>0</v>
      </c>
      <c r="AZ13" s="198" t="s">
        <v>110</v>
      </c>
      <c r="BA13" s="198" t="s">
        <v>110</v>
      </c>
      <c r="BB13" s="198" t="s">
        <v>147</v>
      </c>
      <c r="BC13" s="447">
        <f>'Sag-Tension'!$M$35</f>
        <v>0</v>
      </c>
      <c r="BD13" s="447">
        <f>'Sag-Tension'!$N$35</f>
        <v>0</v>
      </c>
      <c r="BE13" s="449">
        <f>'Sag-Tension'!$O$35</f>
        <v>0</v>
      </c>
      <c r="BF13" s="450">
        <f>'Sag-Tension'!$P$35</f>
        <v>0</v>
      </c>
      <c r="BG13" s="196"/>
      <c r="BH13" s="197"/>
      <c r="BI13" s="198"/>
      <c r="BJ13" s="198"/>
      <c r="BK13" s="198"/>
      <c r="BL13" s="446"/>
      <c r="BM13" s="446"/>
      <c r="BN13" s="446"/>
      <c r="BO13" s="446"/>
      <c r="BP13" s="196"/>
      <c r="BQ13" s="197"/>
      <c r="BR13" s="198"/>
      <c r="BS13" s="198"/>
      <c r="BT13" s="198"/>
      <c r="BU13" s="446"/>
      <c r="BV13" s="446"/>
      <c r="BW13" s="446"/>
      <c r="BX13" s="446"/>
      <c r="BY13" s="196"/>
      <c r="BZ13" s="197"/>
      <c r="CA13" s="198"/>
      <c r="CB13" s="198"/>
      <c r="CC13" s="198"/>
      <c r="CD13" s="446"/>
      <c r="CE13" s="446"/>
      <c r="CF13" s="446"/>
      <c r="CG13" s="446"/>
    </row>
    <row r="14" spans="1:158" s="49" customFormat="1" x14ac:dyDescent="0.3">
      <c r="A14" s="193">
        <v>13</v>
      </c>
      <c r="C14" t="str">
        <f t="shared" si="1"/>
        <v xml:space="preserve">13 </v>
      </c>
      <c r="D14" s="195">
        <v>8</v>
      </c>
      <c r="E14" s="196"/>
      <c r="F14" s="197"/>
      <c r="G14" s="198"/>
      <c r="H14" s="198"/>
      <c r="I14" s="198"/>
      <c r="J14" s="446"/>
      <c r="K14" s="446"/>
      <c r="L14" s="446"/>
      <c r="M14" s="446"/>
      <c r="N14" s="196" t="s">
        <v>208</v>
      </c>
      <c r="O14" s="197">
        <v>0</v>
      </c>
      <c r="P14" s="198">
        <v>0</v>
      </c>
      <c r="Q14" s="198">
        <v>0</v>
      </c>
      <c r="R14" s="198" t="s">
        <v>147</v>
      </c>
      <c r="S14" s="446"/>
      <c r="T14" s="446"/>
      <c r="U14" s="446"/>
      <c r="V14" s="446"/>
      <c r="W14" s="196" t="s">
        <v>221</v>
      </c>
      <c r="X14" s="200">
        <f>'Sag-Tension'!I3+20</f>
        <v>-20</v>
      </c>
      <c r="Y14" s="198" t="s">
        <v>110</v>
      </c>
      <c r="Z14" s="198">
        <v>0</v>
      </c>
      <c r="AA14" s="198" t="s">
        <v>111</v>
      </c>
      <c r="AB14" s="447">
        <f>'Sag-Tension'!$M$35</f>
        <v>0</v>
      </c>
      <c r="AC14" s="447">
        <f>'Sag-Tension'!$N$35</f>
        <v>0</v>
      </c>
      <c r="AD14" s="446"/>
      <c r="AE14" s="446"/>
      <c r="AF14" s="196"/>
      <c r="AG14" s="197">
        <v>-5</v>
      </c>
      <c r="AH14" s="198"/>
      <c r="AI14" s="198"/>
      <c r="AJ14" s="198" t="s">
        <v>111</v>
      </c>
      <c r="AK14" s="446"/>
      <c r="AL14" s="446"/>
      <c r="AM14" s="446"/>
      <c r="AN14" s="446"/>
      <c r="AO14" s="196" t="s">
        <v>222</v>
      </c>
      <c r="AP14" s="199">
        <f>'Sag-Tension'!$I$3</f>
        <v>-40</v>
      </c>
      <c r="AQ14" s="198"/>
      <c r="AR14" s="198"/>
      <c r="AS14" s="198" t="s">
        <v>111</v>
      </c>
      <c r="AT14" s="446"/>
      <c r="AU14" s="446"/>
      <c r="AV14" s="446"/>
      <c r="AW14" s="446"/>
      <c r="AX14" s="196" t="s">
        <v>218</v>
      </c>
      <c r="AY14" s="197">
        <v>0</v>
      </c>
      <c r="AZ14" s="198" t="s">
        <v>199</v>
      </c>
      <c r="BA14" s="198" t="s">
        <v>110</v>
      </c>
      <c r="BB14" s="198" t="s">
        <v>111</v>
      </c>
      <c r="BC14" s="447">
        <f>'Sag-Tension'!$M$35</f>
        <v>0</v>
      </c>
      <c r="BD14" s="447">
        <f>'Sag-Tension'!$N$35</f>
        <v>0</v>
      </c>
      <c r="BE14" s="449">
        <f>'Sag-Tension'!$O$35</f>
        <v>0</v>
      </c>
      <c r="BF14" s="450">
        <f>'Sag-Tension'!$P$35</f>
        <v>0</v>
      </c>
      <c r="BG14" s="196"/>
      <c r="BH14" s="197"/>
      <c r="BI14" s="198"/>
      <c r="BJ14" s="198"/>
      <c r="BK14" s="198"/>
      <c r="BL14" s="446"/>
      <c r="BM14" s="446"/>
      <c r="BN14" s="446"/>
      <c r="BO14" s="446"/>
      <c r="BP14" s="196"/>
      <c r="BQ14" s="197"/>
      <c r="BR14" s="198"/>
      <c r="BS14" s="198"/>
      <c r="BT14" s="198"/>
      <c r="BU14" s="446"/>
      <c r="BV14" s="446"/>
      <c r="BW14" s="446"/>
      <c r="BX14" s="446"/>
      <c r="BY14" s="196"/>
      <c r="BZ14" s="197"/>
      <c r="CA14" s="198"/>
      <c r="CB14" s="198"/>
      <c r="CC14" s="198"/>
      <c r="CD14" s="446"/>
      <c r="CE14" s="446"/>
      <c r="CF14" s="446"/>
      <c r="CG14" s="446"/>
    </row>
    <row r="15" spans="1:158" s="49" customFormat="1" x14ac:dyDescent="0.3">
      <c r="A15" s="193">
        <v>14</v>
      </c>
      <c r="C15" t="str">
        <f t="shared" si="1"/>
        <v xml:space="preserve">14 </v>
      </c>
      <c r="D15" s="195">
        <v>9</v>
      </c>
      <c r="E15" s="196"/>
      <c r="F15" s="197"/>
      <c r="G15" s="198"/>
      <c r="H15" s="198"/>
      <c r="I15" s="198"/>
      <c r="J15" s="446"/>
      <c r="K15" s="446"/>
      <c r="L15" s="446"/>
      <c r="M15" s="446"/>
      <c r="N15" s="196"/>
      <c r="O15" s="197">
        <v>0</v>
      </c>
      <c r="P15" s="198">
        <v>0</v>
      </c>
      <c r="Q15" s="198" t="s">
        <v>110</v>
      </c>
      <c r="R15" s="198" t="s">
        <v>147</v>
      </c>
      <c r="S15" s="446"/>
      <c r="T15" s="446"/>
      <c r="U15" s="449">
        <f>'Sag-Tension'!$O$35</f>
        <v>0</v>
      </c>
      <c r="V15" s="450">
        <f>'Sag-Tension'!$P$35</f>
        <v>0</v>
      </c>
      <c r="W15" s="196" t="s">
        <v>221</v>
      </c>
      <c r="X15" s="200">
        <f>'Sag-Tension'!I3+20</f>
        <v>-20</v>
      </c>
      <c r="Y15" s="198" t="s">
        <v>199</v>
      </c>
      <c r="Z15" s="198">
        <v>0</v>
      </c>
      <c r="AA15" s="198" t="s">
        <v>111</v>
      </c>
      <c r="AB15" s="447">
        <f>'Sag-Tension'!$M$35</f>
        <v>0</v>
      </c>
      <c r="AC15" s="447">
        <f>'Sag-Tension'!$N$35</f>
        <v>0</v>
      </c>
      <c r="AD15" s="446"/>
      <c r="AE15" s="446"/>
      <c r="AF15" s="196"/>
      <c r="AG15" s="197">
        <v>-10</v>
      </c>
      <c r="AH15" s="198"/>
      <c r="AI15" s="198"/>
      <c r="AJ15" s="198" t="s">
        <v>111</v>
      </c>
      <c r="AK15" s="446"/>
      <c r="AL15" s="446"/>
      <c r="AM15" s="446"/>
      <c r="AN15" s="446"/>
      <c r="AO15" s="196" t="s">
        <v>223</v>
      </c>
      <c r="AP15" s="197">
        <v>0</v>
      </c>
      <c r="AQ15" s="198"/>
      <c r="AR15" s="198"/>
      <c r="AS15" s="198" t="s">
        <v>111</v>
      </c>
      <c r="AT15" s="446"/>
      <c r="AU15" s="446"/>
      <c r="AV15" s="446"/>
      <c r="AW15" s="446"/>
      <c r="AX15" s="196" t="s">
        <v>220</v>
      </c>
      <c r="AY15" s="197">
        <v>0</v>
      </c>
      <c r="AZ15" s="198" t="s">
        <v>199</v>
      </c>
      <c r="BA15" s="198" t="s">
        <v>110</v>
      </c>
      <c r="BB15" s="198" t="s">
        <v>147</v>
      </c>
      <c r="BC15" s="447">
        <f>'Sag-Tension'!$M$35</f>
        <v>0</v>
      </c>
      <c r="BD15" s="447">
        <f>'Sag-Tension'!$N$35</f>
        <v>0</v>
      </c>
      <c r="BE15" s="449">
        <f>'Sag-Tension'!$O$35</f>
        <v>0</v>
      </c>
      <c r="BF15" s="450">
        <f>'Sag-Tension'!$P$35</f>
        <v>0</v>
      </c>
      <c r="BG15" s="196"/>
      <c r="BH15" s="197"/>
      <c r="BI15" s="198"/>
      <c r="BJ15" s="198"/>
      <c r="BK15" s="198"/>
      <c r="BL15" s="446"/>
      <c r="BM15" s="446"/>
      <c r="BN15" s="446"/>
      <c r="BO15" s="446"/>
      <c r="BP15" s="196"/>
      <c r="BQ15" s="197"/>
      <c r="BR15" s="198"/>
      <c r="BS15" s="198"/>
      <c r="BT15" s="198"/>
      <c r="BU15" s="446"/>
      <c r="BV15" s="446"/>
      <c r="BW15" s="446"/>
      <c r="BX15" s="446"/>
      <c r="BY15" s="196"/>
      <c r="BZ15" s="197"/>
      <c r="CA15" s="198"/>
      <c r="CB15" s="198"/>
      <c r="CC15" s="198"/>
      <c r="CD15" s="446"/>
      <c r="CE15" s="446"/>
      <c r="CF15" s="446"/>
      <c r="CG15" s="446"/>
    </row>
    <row r="16" spans="1:158" s="49" customFormat="1" x14ac:dyDescent="0.3">
      <c r="A16" s="193">
        <v>15</v>
      </c>
      <c r="C16" t="str">
        <f t="shared" si="1"/>
        <v xml:space="preserve">15 </v>
      </c>
      <c r="D16" s="195">
        <v>10</v>
      </c>
      <c r="E16" s="196"/>
      <c r="F16" s="197"/>
      <c r="G16" s="198"/>
      <c r="H16" s="198"/>
      <c r="I16" s="198"/>
      <c r="J16" s="446"/>
      <c r="K16" s="446"/>
      <c r="L16" s="446"/>
      <c r="M16" s="446"/>
      <c r="N16" s="196" t="s">
        <v>111</v>
      </c>
      <c r="O16" s="197">
        <v>0</v>
      </c>
      <c r="P16" s="198" t="s">
        <v>110</v>
      </c>
      <c r="Q16" s="198" t="s">
        <v>110</v>
      </c>
      <c r="R16" s="198" t="s">
        <v>147</v>
      </c>
      <c r="S16" s="447">
        <f>'Sag-Tension'!$M$35</f>
        <v>0</v>
      </c>
      <c r="T16" s="447">
        <f>'Sag-Tension'!$N$35</f>
        <v>0</v>
      </c>
      <c r="U16" s="449">
        <f>'Sag-Tension'!$O$35</f>
        <v>0</v>
      </c>
      <c r="V16" s="450">
        <f>'Sag-Tension'!$P$35</f>
        <v>0</v>
      </c>
      <c r="W16" s="196" t="s">
        <v>149</v>
      </c>
      <c r="X16" s="197">
        <v>15</v>
      </c>
      <c r="Y16" s="198" t="s">
        <v>148</v>
      </c>
      <c r="Z16" s="198">
        <v>0</v>
      </c>
      <c r="AA16" s="198" t="s">
        <v>111</v>
      </c>
      <c r="AB16" s="447">
        <f>'Sag-Tension'!$M$35</f>
        <v>0</v>
      </c>
      <c r="AC16" s="447">
        <f>'Sag-Tension'!$N$35</f>
        <v>0</v>
      </c>
      <c r="AD16" s="446"/>
      <c r="AE16" s="446"/>
      <c r="AF16" s="196"/>
      <c r="AG16" s="197">
        <v>-15</v>
      </c>
      <c r="AH16" s="198"/>
      <c r="AI16" s="198"/>
      <c r="AJ16" s="198" t="s">
        <v>111</v>
      </c>
      <c r="AK16" s="446"/>
      <c r="AL16" s="446"/>
      <c r="AM16" s="446"/>
      <c r="AN16" s="446"/>
      <c r="AO16" s="196" t="s">
        <v>224</v>
      </c>
      <c r="AP16" s="197">
        <v>0</v>
      </c>
      <c r="AQ16" s="198"/>
      <c r="AR16" s="198"/>
      <c r="AS16" s="198" t="s">
        <v>147</v>
      </c>
      <c r="AT16" s="446"/>
      <c r="AU16" s="446"/>
      <c r="AV16" s="446"/>
      <c r="AW16" s="446"/>
      <c r="AX16" s="196">
        <v>6</v>
      </c>
      <c r="AY16" s="197">
        <v>15</v>
      </c>
      <c r="AZ16" s="198" t="s">
        <v>110</v>
      </c>
      <c r="BA16" s="198">
        <v>0</v>
      </c>
      <c r="BB16" s="198" t="s">
        <v>147</v>
      </c>
      <c r="BC16" s="447">
        <f>'Sag-Tension'!$M$35</f>
        <v>0</v>
      </c>
      <c r="BD16" s="447">
        <f>'Sag-Tension'!$N$35</f>
        <v>0</v>
      </c>
      <c r="BE16" s="446"/>
      <c r="BF16" s="446"/>
      <c r="BG16" s="196"/>
      <c r="BH16" s="197"/>
      <c r="BI16" s="198"/>
      <c r="BJ16" s="198"/>
      <c r="BK16" s="198"/>
      <c r="BL16" s="446"/>
      <c r="BM16" s="446"/>
      <c r="BN16" s="446"/>
      <c r="BO16" s="446"/>
      <c r="BP16" s="196"/>
      <c r="BQ16" s="197"/>
      <c r="BR16" s="198"/>
      <c r="BS16" s="198"/>
      <c r="BT16" s="198"/>
      <c r="BU16" s="446"/>
      <c r="BV16" s="446"/>
      <c r="BW16" s="446"/>
      <c r="BX16" s="446"/>
      <c r="BY16" s="196"/>
      <c r="BZ16" s="197"/>
      <c r="CA16" s="198"/>
      <c r="CB16" s="198"/>
      <c r="CC16" s="198"/>
      <c r="CD16" s="446"/>
      <c r="CE16" s="446"/>
      <c r="CF16" s="446"/>
      <c r="CG16" s="446"/>
    </row>
    <row r="17" spans="1:85" s="49" customFormat="1" x14ac:dyDescent="0.3">
      <c r="A17" s="193">
        <v>16</v>
      </c>
      <c r="C17" t="str">
        <f t="shared" si="1"/>
        <v xml:space="preserve">16 </v>
      </c>
      <c r="D17" s="195">
        <v>11</v>
      </c>
      <c r="E17" s="196"/>
      <c r="F17" s="197"/>
      <c r="G17" s="198"/>
      <c r="H17" s="198"/>
      <c r="I17" s="198"/>
      <c r="J17" s="446"/>
      <c r="K17" s="446"/>
      <c r="L17" s="446"/>
      <c r="M17" s="446"/>
      <c r="N17" s="196"/>
      <c r="O17" s="197">
        <v>0</v>
      </c>
      <c r="P17" s="198" t="s">
        <v>149</v>
      </c>
      <c r="Q17" s="198">
        <v>0</v>
      </c>
      <c r="R17" s="198" t="s">
        <v>147</v>
      </c>
      <c r="S17" s="448">
        <f>'Sag-Tension'!$M$36</f>
        <v>0</v>
      </c>
      <c r="T17" s="448">
        <f>'Sag-Tension'!$N$36</f>
        <v>0</v>
      </c>
      <c r="U17" s="446"/>
      <c r="V17" s="446"/>
      <c r="W17" s="196" t="s">
        <v>149</v>
      </c>
      <c r="X17" s="197">
        <v>15</v>
      </c>
      <c r="Y17" s="198" t="s">
        <v>200</v>
      </c>
      <c r="Z17" s="198">
        <v>0</v>
      </c>
      <c r="AA17" s="198" t="s">
        <v>111</v>
      </c>
      <c r="AB17" s="447">
        <f>'Sag-Tension'!$M$35</f>
        <v>0</v>
      </c>
      <c r="AC17" s="447">
        <f>'Sag-Tension'!$N$35</f>
        <v>0</v>
      </c>
      <c r="AD17" s="446"/>
      <c r="AE17" s="446"/>
      <c r="AF17" s="196"/>
      <c r="AG17" s="197">
        <v>-20</v>
      </c>
      <c r="AH17" s="198"/>
      <c r="AI17" s="198"/>
      <c r="AJ17" s="198" t="s">
        <v>111</v>
      </c>
      <c r="AK17" s="446"/>
      <c r="AL17" s="446"/>
      <c r="AM17" s="446"/>
      <c r="AN17" s="446"/>
      <c r="AO17" s="196" t="s">
        <v>225</v>
      </c>
      <c r="AP17" s="197">
        <v>0</v>
      </c>
      <c r="AQ17" s="198"/>
      <c r="AR17" s="198" t="s">
        <v>110</v>
      </c>
      <c r="AS17" s="198" t="s">
        <v>111</v>
      </c>
      <c r="AT17" s="446"/>
      <c r="AU17" s="446"/>
      <c r="AV17" s="449">
        <f>'Sag-Tension'!$O$35</f>
        <v>0</v>
      </c>
      <c r="AW17" s="450">
        <f>'Sag-Tension'!$P$35</f>
        <v>0</v>
      </c>
      <c r="AX17" s="196">
        <v>6</v>
      </c>
      <c r="AY17" s="197">
        <v>15</v>
      </c>
      <c r="AZ17" s="198" t="s">
        <v>199</v>
      </c>
      <c r="BA17" s="198">
        <v>0</v>
      </c>
      <c r="BB17" s="198" t="s">
        <v>147</v>
      </c>
      <c r="BC17" s="447">
        <f>'Sag-Tension'!$M$35</f>
        <v>0</v>
      </c>
      <c r="BD17" s="447">
        <f>'Sag-Tension'!$N$35</f>
        <v>0</v>
      </c>
      <c r="BE17" s="446"/>
      <c r="BF17" s="446"/>
      <c r="BG17" s="196"/>
      <c r="BH17" s="197"/>
      <c r="BI17" s="198"/>
      <c r="BJ17" s="198"/>
      <c r="BK17" s="198"/>
      <c r="BL17" s="446"/>
      <c r="BM17" s="446"/>
      <c r="BN17" s="446"/>
      <c r="BO17" s="446"/>
      <c r="BP17" s="196"/>
      <c r="BQ17" s="197"/>
      <c r="BR17" s="198"/>
      <c r="BS17" s="198"/>
      <c r="BT17" s="198"/>
      <c r="BU17" s="446"/>
      <c r="BV17" s="446"/>
      <c r="BW17" s="446"/>
      <c r="BX17" s="446"/>
      <c r="BY17" s="196"/>
      <c r="BZ17" s="197"/>
      <c r="CA17" s="198"/>
      <c r="CB17" s="198"/>
      <c r="CC17" s="198"/>
      <c r="CD17" s="446"/>
      <c r="CE17" s="446"/>
      <c r="CF17" s="446"/>
      <c r="CG17" s="446"/>
    </row>
    <row r="18" spans="1:85" s="49" customFormat="1" x14ac:dyDescent="0.3">
      <c r="A18" s="193"/>
      <c r="C18" t="str">
        <f t="shared" si="1"/>
        <v xml:space="preserve"> </v>
      </c>
      <c r="D18" s="195">
        <v>12</v>
      </c>
      <c r="E18" s="196"/>
      <c r="F18" s="197"/>
      <c r="G18" s="198"/>
      <c r="H18" s="198"/>
      <c r="I18" s="198"/>
      <c r="J18" s="446"/>
      <c r="K18" s="446"/>
      <c r="L18" s="446"/>
      <c r="M18" s="446"/>
      <c r="N18" s="196" t="s">
        <v>229</v>
      </c>
      <c r="O18" s="197">
        <v>15</v>
      </c>
      <c r="P18" s="198">
        <v>0</v>
      </c>
      <c r="Q18" s="198">
        <v>0</v>
      </c>
      <c r="R18" s="198" t="s">
        <v>147</v>
      </c>
      <c r="S18" s="446"/>
      <c r="T18" s="446"/>
      <c r="U18" s="446"/>
      <c r="V18" s="446"/>
      <c r="W18" s="196" t="s">
        <v>226</v>
      </c>
      <c r="X18" s="197">
        <v>15</v>
      </c>
      <c r="Y18" s="198" t="s">
        <v>148</v>
      </c>
      <c r="Z18" s="198">
        <v>0</v>
      </c>
      <c r="AA18" s="198" t="s">
        <v>147</v>
      </c>
      <c r="AB18" s="447">
        <f>'Sag-Tension'!$M$35</f>
        <v>0</v>
      </c>
      <c r="AC18" s="447">
        <f>'Sag-Tension'!$N$35</f>
        <v>0</v>
      </c>
      <c r="AD18" s="446"/>
      <c r="AE18" s="446"/>
      <c r="AF18" s="196"/>
      <c r="AG18" s="197">
        <v>-25</v>
      </c>
      <c r="AH18" s="198"/>
      <c r="AI18" s="198"/>
      <c r="AJ18" s="198" t="s">
        <v>111</v>
      </c>
      <c r="AK18" s="446"/>
      <c r="AL18" s="446"/>
      <c r="AM18" s="446"/>
      <c r="AN18" s="446"/>
      <c r="AO18" s="196" t="s">
        <v>227</v>
      </c>
      <c r="AP18" s="197">
        <v>0</v>
      </c>
      <c r="AQ18" s="198"/>
      <c r="AR18" s="198" t="s">
        <v>110</v>
      </c>
      <c r="AS18" s="198" t="s">
        <v>147</v>
      </c>
      <c r="AT18" s="446"/>
      <c r="AU18" s="446"/>
      <c r="AV18" s="449">
        <f>'Sag-Tension'!$O$35</f>
        <v>0</v>
      </c>
      <c r="AW18" s="450">
        <f>'Sag-Tension'!$P$35</f>
        <v>0</v>
      </c>
      <c r="AX18" s="196">
        <v>7</v>
      </c>
      <c r="AY18" s="197">
        <v>-20</v>
      </c>
      <c r="AZ18" s="198" t="s">
        <v>110</v>
      </c>
      <c r="BA18" s="198">
        <v>0</v>
      </c>
      <c r="BB18" s="198" t="s">
        <v>111</v>
      </c>
      <c r="BC18" s="447">
        <f>'Sag-Tension'!$M$35</f>
        <v>0</v>
      </c>
      <c r="BD18" s="447">
        <f>'Sag-Tension'!$N$35</f>
        <v>0</v>
      </c>
      <c r="BE18" s="446"/>
      <c r="BF18" s="446"/>
      <c r="BG18" s="196"/>
      <c r="BH18" s="197"/>
      <c r="BI18" s="198"/>
      <c r="BJ18" s="198"/>
      <c r="BK18" s="198"/>
      <c r="BL18" s="446"/>
      <c r="BM18" s="446"/>
      <c r="BN18" s="446"/>
      <c r="BO18" s="446"/>
      <c r="BP18" s="196"/>
      <c r="BQ18" s="197"/>
      <c r="BR18" s="198"/>
      <c r="BS18" s="198"/>
      <c r="BT18" s="198"/>
      <c r="BU18" s="446"/>
      <c r="BV18" s="446"/>
      <c r="BW18" s="446"/>
      <c r="BX18" s="446"/>
      <c r="BY18" s="196"/>
      <c r="BZ18" s="197"/>
      <c r="CA18" s="198"/>
      <c r="CB18" s="198"/>
      <c r="CC18" s="198"/>
      <c r="CD18" s="446"/>
      <c r="CE18" s="446"/>
      <c r="CF18" s="446"/>
      <c r="CG18" s="446"/>
    </row>
    <row r="19" spans="1:85" s="49" customFormat="1" x14ac:dyDescent="0.3">
      <c r="A19" s="193"/>
      <c r="C19" t="str">
        <f t="shared" si="1"/>
        <v xml:space="preserve"> </v>
      </c>
      <c r="D19" s="195">
        <v>13</v>
      </c>
      <c r="E19" s="196"/>
      <c r="F19" s="197"/>
      <c r="G19" s="198"/>
      <c r="H19" s="198"/>
      <c r="I19" s="198"/>
      <c r="J19" s="446"/>
      <c r="K19" s="446"/>
      <c r="L19" s="446"/>
      <c r="M19" s="446"/>
      <c r="N19" s="196" t="s">
        <v>226</v>
      </c>
      <c r="O19" s="197">
        <v>15</v>
      </c>
      <c r="P19" s="198" t="s">
        <v>148</v>
      </c>
      <c r="Q19" s="198">
        <v>0</v>
      </c>
      <c r="R19" s="198" t="s">
        <v>147</v>
      </c>
      <c r="S19" s="447">
        <f>'Sag-Tension'!$M$35</f>
        <v>0</v>
      </c>
      <c r="T19" s="447">
        <f>'Sag-Tension'!$N$35</f>
        <v>0</v>
      </c>
      <c r="U19" s="446"/>
      <c r="V19" s="446"/>
      <c r="W19" s="196" t="s">
        <v>226</v>
      </c>
      <c r="X19" s="197">
        <v>15</v>
      </c>
      <c r="Y19" s="198" t="s">
        <v>200</v>
      </c>
      <c r="Z19" s="198">
        <v>0</v>
      </c>
      <c r="AA19" s="198" t="s">
        <v>147</v>
      </c>
      <c r="AB19" s="447">
        <f>'Sag-Tension'!$M$35</f>
        <v>0</v>
      </c>
      <c r="AC19" s="447">
        <f>'Sag-Tension'!$N$35</f>
        <v>0</v>
      </c>
      <c r="AD19" s="446"/>
      <c r="AE19" s="446"/>
      <c r="AF19" s="196"/>
      <c r="AG19" s="197">
        <v>-30</v>
      </c>
      <c r="AH19" s="198"/>
      <c r="AI19" s="198"/>
      <c r="AJ19" s="198" t="s">
        <v>111</v>
      </c>
      <c r="AK19" s="446"/>
      <c r="AL19" s="446"/>
      <c r="AM19" s="446"/>
      <c r="AN19" s="446"/>
      <c r="AO19" s="196" t="s">
        <v>228</v>
      </c>
      <c r="AP19" s="197">
        <v>0</v>
      </c>
      <c r="AQ19" s="198" t="s">
        <v>149</v>
      </c>
      <c r="AR19" s="198"/>
      <c r="AS19" s="198" t="s">
        <v>111</v>
      </c>
      <c r="AT19" s="448">
        <f>'Sag-Tension'!$M$36</f>
        <v>0</v>
      </c>
      <c r="AU19" s="448">
        <f>'Sag-Tension'!$N$36</f>
        <v>0</v>
      </c>
      <c r="AV19" s="446"/>
      <c r="AW19" s="446"/>
      <c r="AX19" s="196">
        <v>7</v>
      </c>
      <c r="AY19" s="197">
        <v>-20</v>
      </c>
      <c r="AZ19" s="198" t="s">
        <v>199</v>
      </c>
      <c r="BA19" s="198">
        <v>0</v>
      </c>
      <c r="BB19" s="198" t="s">
        <v>111</v>
      </c>
      <c r="BC19" s="447">
        <f>'Sag-Tension'!$M$35</f>
        <v>0</v>
      </c>
      <c r="BD19" s="447">
        <f>'Sag-Tension'!$N$35</f>
        <v>0</v>
      </c>
      <c r="BE19" s="446"/>
      <c r="BF19" s="446"/>
      <c r="BG19" s="196"/>
      <c r="BH19" s="197"/>
      <c r="BI19" s="198"/>
      <c r="BJ19" s="198"/>
      <c r="BK19" s="198"/>
      <c r="BL19" s="446"/>
      <c r="BM19" s="446"/>
      <c r="BN19" s="446"/>
      <c r="BO19" s="446"/>
      <c r="BP19" s="196"/>
      <c r="BQ19" s="197"/>
      <c r="BR19" s="198"/>
      <c r="BS19" s="198"/>
      <c r="BT19" s="198"/>
      <c r="BU19" s="446"/>
      <c r="BV19" s="446"/>
      <c r="BW19" s="446"/>
      <c r="BX19" s="446"/>
      <c r="BY19" s="196"/>
      <c r="BZ19" s="197"/>
      <c r="CA19" s="198"/>
      <c r="CB19" s="198"/>
      <c r="CC19" s="198"/>
      <c r="CD19" s="446"/>
      <c r="CE19" s="446"/>
      <c r="CF19" s="446"/>
      <c r="CG19" s="446"/>
    </row>
    <row r="20" spans="1:85" s="49" customFormat="1" x14ac:dyDescent="0.3">
      <c r="A20" s="193"/>
      <c r="C20" t="str">
        <f t="shared" si="1"/>
        <v xml:space="preserve"> </v>
      </c>
      <c r="D20" s="195">
        <v>14</v>
      </c>
      <c r="E20" s="196"/>
      <c r="F20" s="197"/>
      <c r="G20" s="198"/>
      <c r="H20" s="198"/>
      <c r="I20" s="198"/>
      <c r="J20" s="446"/>
      <c r="K20" s="446"/>
      <c r="L20" s="446"/>
      <c r="M20" s="446"/>
      <c r="N20" s="196" t="s">
        <v>216</v>
      </c>
      <c r="O20" s="197">
        <v>15</v>
      </c>
      <c r="P20" s="198" t="s">
        <v>110</v>
      </c>
      <c r="Q20" s="198">
        <v>0</v>
      </c>
      <c r="R20" s="198" t="s">
        <v>147</v>
      </c>
      <c r="S20" s="447">
        <f>'Sag-Tension'!$M$35</f>
        <v>0</v>
      </c>
      <c r="T20" s="447">
        <f>'Sag-Tension'!$N$35</f>
        <v>0</v>
      </c>
      <c r="U20" s="446"/>
      <c r="V20" s="446"/>
      <c r="W20" s="196" t="s">
        <v>229</v>
      </c>
      <c r="X20" s="197">
        <v>15</v>
      </c>
      <c r="Y20" s="198">
        <v>0</v>
      </c>
      <c r="Z20" s="198">
        <v>0</v>
      </c>
      <c r="AA20" s="198" t="s">
        <v>147</v>
      </c>
      <c r="AB20" s="446"/>
      <c r="AC20" s="446"/>
      <c r="AD20" s="446"/>
      <c r="AE20" s="446"/>
      <c r="AF20" s="196"/>
      <c r="AG20" s="197"/>
      <c r="AH20" s="198"/>
      <c r="AI20" s="198"/>
      <c r="AJ20" s="198"/>
      <c r="AK20" s="446"/>
      <c r="AL20" s="446"/>
      <c r="AM20" s="446"/>
      <c r="AN20" s="446"/>
      <c r="AO20" s="196" t="s">
        <v>230</v>
      </c>
      <c r="AP20" s="197">
        <v>0</v>
      </c>
      <c r="AQ20" s="198" t="s">
        <v>149</v>
      </c>
      <c r="AR20" s="198"/>
      <c r="AS20" s="198" t="s">
        <v>147</v>
      </c>
      <c r="AT20" s="448">
        <f>'Sag-Tension'!$M$36</f>
        <v>0</v>
      </c>
      <c r="AU20" s="448">
        <f>'Sag-Tension'!$N$36</f>
        <v>0</v>
      </c>
      <c r="AV20" s="446"/>
      <c r="AW20" s="446"/>
      <c r="AX20" s="196">
        <v>10</v>
      </c>
      <c r="AY20" s="197">
        <v>-40</v>
      </c>
      <c r="AZ20" s="198">
        <v>0</v>
      </c>
      <c r="BA20" s="198">
        <v>0</v>
      </c>
      <c r="BB20" s="198" t="s">
        <v>111</v>
      </c>
      <c r="BC20" s="446"/>
      <c r="BD20" s="446"/>
      <c r="BE20" s="446"/>
      <c r="BF20" s="446"/>
      <c r="BG20" s="196"/>
      <c r="BH20" s="197"/>
      <c r="BI20" s="198"/>
      <c r="BJ20" s="198"/>
      <c r="BK20" s="198"/>
      <c r="BL20" s="446"/>
      <c r="BM20" s="446"/>
      <c r="BN20" s="446"/>
      <c r="BO20" s="446"/>
      <c r="BP20" s="196"/>
      <c r="BQ20" s="197"/>
      <c r="BR20" s="198"/>
      <c r="BS20" s="198"/>
      <c r="BT20" s="198"/>
      <c r="BU20" s="446"/>
      <c r="BV20" s="446"/>
      <c r="BW20" s="446"/>
      <c r="BX20" s="446"/>
      <c r="BY20" s="196"/>
      <c r="BZ20" s="197"/>
      <c r="CA20" s="198"/>
      <c r="CB20" s="198"/>
      <c r="CC20" s="198"/>
      <c r="CD20" s="446"/>
      <c r="CE20" s="446"/>
      <c r="CF20" s="446"/>
      <c r="CG20" s="446"/>
    </row>
    <row r="21" spans="1:85" s="49" customFormat="1" x14ac:dyDescent="0.3">
      <c r="A21" s="193"/>
      <c r="C21" t="str">
        <f t="shared" si="1"/>
        <v xml:space="preserve"> </v>
      </c>
      <c r="D21" s="195">
        <v>15</v>
      </c>
      <c r="E21" s="196"/>
      <c r="F21" s="197"/>
      <c r="G21" s="198"/>
      <c r="H21" s="198"/>
      <c r="I21" s="198"/>
      <c r="J21" s="446"/>
      <c r="K21" s="446"/>
      <c r="L21" s="446"/>
      <c r="M21" s="446"/>
      <c r="N21" s="196"/>
      <c r="O21" s="197">
        <v>50</v>
      </c>
      <c r="P21" s="198">
        <v>0</v>
      </c>
      <c r="Q21" s="198">
        <v>0</v>
      </c>
      <c r="R21" s="198" t="s">
        <v>147</v>
      </c>
      <c r="S21" s="446"/>
      <c r="T21" s="446"/>
      <c r="U21" s="446"/>
      <c r="V21" s="446"/>
      <c r="W21" s="196" t="s">
        <v>231</v>
      </c>
      <c r="X21" s="199">
        <f>'Sag-Tension'!I3</f>
        <v>-40</v>
      </c>
      <c r="Y21" s="198">
        <v>0</v>
      </c>
      <c r="Z21" s="198">
        <v>0</v>
      </c>
      <c r="AA21" s="198" t="s">
        <v>111</v>
      </c>
      <c r="AB21" s="446"/>
      <c r="AC21" s="446"/>
      <c r="AD21" s="446"/>
      <c r="AE21" s="446"/>
      <c r="AF21" s="196"/>
      <c r="AG21" s="197"/>
      <c r="AH21" s="198"/>
      <c r="AI21" s="198"/>
      <c r="AJ21" s="198"/>
      <c r="AK21" s="446"/>
      <c r="AL21" s="446"/>
      <c r="AM21" s="446"/>
      <c r="AN21" s="446"/>
      <c r="AO21" s="196" t="s">
        <v>232</v>
      </c>
      <c r="AP21" s="197">
        <v>35</v>
      </c>
      <c r="AQ21" s="198"/>
      <c r="AR21" s="198"/>
      <c r="AS21" s="198" t="s">
        <v>111</v>
      </c>
      <c r="AT21" s="446"/>
      <c r="AU21" s="446"/>
      <c r="AV21" s="446"/>
      <c r="AW21" s="446"/>
      <c r="AX21" s="196" t="s">
        <v>233</v>
      </c>
      <c r="AY21" s="197">
        <v>60</v>
      </c>
      <c r="AZ21" s="198">
        <v>0</v>
      </c>
      <c r="BA21" s="198">
        <v>0</v>
      </c>
      <c r="BB21" s="198" t="s">
        <v>147</v>
      </c>
      <c r="BC21" s="446"/>
      <c r="BD21" s="446"/>
      <c r="BE21" s="446"/>
      <c r="BF21" s="446"/>
      <c r="BG21" s="196"/>
      <c r="BH21" s="197"/>
      <c r="BI21" s="198"/>
      <c r="BJ21" s="198"/>
      <c r="BK21" s="198"/>
      <c r="BL21" s="446"/>
      <c r="BM21" s="446"/>
      <c r="BN21" s="446"/>
      <c r="BO21" s="446"/>
      <c r="BP21" s="196"/>
      <c r="BQ21" s="197"/>
      <c r="BR21" s="198"/>
      <c r="BS21" s="198"/>
      <c r="BT21" s="198"/>
      <c r="BU21" s="446"/>
      <c r="BV21" s="446"/>
      <c r="BW21" s="446"/>
      <c r="BX21" s="446"/>
      <c r="BY21" s="196"/>
      <c r="BZ21" s="197"/>
      <c r="CA21" s="198"/>
      <c r="CB21" s="198"/>
      <c r="CC21" s="198"/>
      <c r="CD21" s="446"/>
      <c r="CE21" s="446"/>
      <c r="CF21" s="446"/>
      <c r="CG21" s="446"/>
    </row>
    <row r="22" spans="1:85" s="49" customFormat="1" x14ac:dyDescent="0.3">
      <c r="A22" s="193"/>
      <c r="C22" t="str">
        <f t="shared" si="1"/>
        <v xml:space="preserve"> </v>
      </c>
      <c r="D22" s="195">
        <v>16</v>
      </c>
      <c r="E22" s="196"/>
      <c r="F22" s="197"/>
      <c r="G22" s="198"/>
      <c r="H22" s="198"/>
      <c r="I22" s="198"/>
      <c r="J22" s="446"/>
      <c r="K22" s="446"/>
      <c r="L22" s="446"/>
      <c r="M22" s="446"/>
      <c r="N22" s="196"/>
      <c r="O22" s="197">
        <v>60</v>
      </c>
      <c r="P22" s="198">
        <v>0</v>
      </c>
      <c r="Q22" s="198">
        <v>0</v>
      </c>
      <c r="R22" s="198" t="s">
        <v>147</v>
      </c>
      <c r="S22" s="446"/>
      <c r="T22" s="446"/>
      <c r="U22" s="446"/>
      <c r="V22" s="446"/>
      <c r="W22" s="196"/>
      <c r="X22" s="197"/>
      <c r="Y22" s="198"/>
      <c r="Z22" s="198"/>
      <c r="AA22" s="198"/>
      <c r="AB22" s="446"/>
      <c r="AC22" s="446"/>
      <c r="AD22" s="446"/>
      <c r="AE22" s="446"/>
      <c r="AF22" s="196"/>
      <c r="AG22" s="197"/>
      <c r="AH22" s="198"/>
      <c r="AI22" s="198"/>
      <c r="AJ22" s="198"/>
      <c r="AK22" s="446"/>
      <c r="AL22" s="446"/>
      <c r="AM22" s="446"/>
      <c r="AN22" s="446"/>
      <c r="AO22" s="196" t="s">
        <v>234</v>
      </c>
      <c r="AP22" s="194">
        <f>'Sag-Tension'!$I$4</f>
        <v>50</v>
      </c>
      <c r="AQ22" s="198"/>
      <c r="AR22" s="198"/>
      <c r="AS22" s="198" t="s">
        <v>147</v>
      </c>
      <c r="AT22" s="446"/>
      <c r="AU22" s="446"/>
      <c r="AV22" s="446"/>
      <c r="AW22" s="446"/>
      <c r="AX22" s="196"/>
      <c r="AY22" s="197"/>
      <c r="AZ22" s="198"/>
      <c r="BA22" s="198"/>
      <c r="BB22" s="198"/>
      <c r="BC22" s="446"/>
      <c r="BD22" s="446"/>
      <c r="BE22" s="446"/>
      <c r="BF22" s="446"/>
      <c r="BG22" s="196"/>
      <c r="BH22" s="197"/>
      <c r="BI22" s="198"/>
      <c r="BJ22" s="198"/>
      <c r="BK22" s="198"/>
      <c r="BL22" s="446"/>
      <c r="BM22" s="446"/>
      <c r="BN22" s="446"/>
      <c r="BO22" s="446"/>
      <c r="BP22" s="196"/>
      <c r="BQ22" s="197"/>
      <c r="BR22" s="198"/>
      <c r="BS22" s="198"/>
      <c r="BT22" s="198"/>
      <c r="BU22" s="446"/>
      <c r="BV22" s="446"/>
      <c r="BW22" s="446"/>
      <c r="BX22" s="446"/>
      <c r="BY22" s="196"/>
      <c r="BZ22" s="197"/>
      <c r="CA22" s="198"/>
      <c r="CB22" s="198"/>
      <c r="CC22" s="198"/>
      <c r="CD22" s="446"/>
      <c r="CE22" s="446"/>
      <c r="CF22" s="446"/>
      <c r="CG22" s="446"/>
    </row>
    <row r="23" spans="1:85" s="49" customFormat="1" x14ac:dyDescent="0.3">
      <c r="A23" s="193"/>
      <c r="C23" t="str">
        <f t="shared" si="1"/>
        <v xml:space="preserve"> </v>
      </c>
      <c r="D23" s="195">
        <v>17</v>
      </c>
      <c r="E23" s="196"/>
      <c r="F23" s="197"/>
      <c r="G23" s="198"/>
      <c r="H23" s="198"/>
      <c r="I23" s="198"/>
      <c r="J23" s="446"/>
      <c r="K23" s="446"/>
      <c r="L23" s="446"/>
      <c r="M23" s="446"/>
      <c r="N23" s="196"/>
      <c r="O23" s="197">
        <v>70</v>
      </c>
      <c r="P23" s="198">
        <v>0</v>
      </c>
      <c r="Q23" s="198">
        <v>0</v>
      </c>
      <c r="R23" s="198" t="s">
        <v>147</v>
      </c>
      <c r="S23" s="446"/>
      <c r="T23" s="446"/>
      <c r="U23" s="446"/>
      <c r="V23" s="446"/>
      <c r="W23" s="196"/>
      <c r="X23" s="197"/>
      <c r="Y23" s="198"/>
      <c r="Z23" s="198"/>
      <c r="AA23" s="198"/>
      <c r="AB23" s="446"/>
      <c r="AC23" s="446"/>
      <c r="AD23" s="446"/>
      <c r="AE23" s="446"/>
      <c r="AF23" s="196"/>
      <c r="AG23" s="197"/>
      <c r="AH23" s="198"/>
      <c r="AI23" s="198"/>
      <c r="AJ23" s="198"/>
      <c r="AK23" s="446"/>
      <c r="AL23" s="446"/>
      <c r="AM23" s="446"/>
      <c r="AN23" s="446"/>
      <c r="AO23" s="196" t="s">
        <v>235</v>
      </c>
      <c r="AP23" s="197">
        <v>100</v>
      </c>
      <c r="AQ23" s="198"/>
      <c r="AR23" s="198"/>
      <c r="AS23" s="198" t="s">
        <v>147</v>
      </c>
      <c r="AT23" s="446"/>
      <c r="AU23" s="446"/>
      <c r="AV23" s="446"/>
      <c r="AW23" s="446"/>
      <c r="AX23" s="196"/>
      <c r="AY23" s="197"/>
      <c r="AZ23" s="198"/>
      <c r="BA23" s="198"/>
      <c r="BB23" s="198"/>
      <c r="BC23" s="446"/>
      <c r="BD23" s="446"/>
      <c r="BE23" s="446"/>
      <c r="BF23" s="446"/>
      <c r="BG23" s="196"/>
      <c r="BH23" s="197"/>
      <c r="BI23" s="198"/>
      <c r="BJ23" s="198"/>
      <c r="BK23" s="198"/>
      <c r="BL23" s="446"/>
      <c r="BM23" s="446"/>
      <c r="BN23" s="446"/>
      <c r="BO23" s="446"/>
      <c r="BP23" s="196"/>
      <c r="BQ23" s="197"/>
      <c r="BR23" s="198"/>
      <c r="BS23" s="198"/>
      <c r="BT23" s="198"/>
      <c r="BU23" s="446"/>
      <c r="BV23" s="446"/>
      <c r="BW23" s="446"/>
      <c r="BX23" s="446"/>
      <c r="BY23" s="196"/>
      <c r="BZ23" s="197"/>
      <c r="CA23" s="198"/>
      <c r="CB23" s="198"/>
      <c r="CC23" s="198"/>
      <c r="CD23" s="446"/>
      <c r="CE23" s="446"/>
      <c r="CF23" s="446"/>
      <c r="CG23" s="446"/>
    </row>
    <row r="24" spans="1:85" s="49" customFormat="1" x14ac:dyDescent="0.3">
      <c r="A24" s="193"/>
      <c r="C24" t="str">
        <f t="shared" si="1"/>
        <v xml:space="preserve"> </v>
      </c>
      <c r="D24" s="195">
        <v>18</v>
      </c>
      <c r="E24" s="196"/>
      <c r="F24" s="197"/>
      <c r="G24" s="198"/>
      <c r="H24" s="198"/>
      <c r="I24" s="198"/>
      <c r="J24" s="446"/>
      <c r="K24" s="446"/>
      <c r="L24" s="446"/>
      <c r="M24" s="446"/>
      <c r="N24" s="196"/>
      <c r="O24" s="197">
        <v>80</v>
      </c>
      <c r="P24" s="198">
        <v>0</v>
      </c>
      <c r="Q24" s="198">
        <v>0</v>
      </c>
      <c r="R24" s="198" t="s">
        <v>147</v>
      </c>
      <c r="S24" s="446"/>
      <c r="T24" s="446"/>
      <c r="U24" s="446"/>
      <c r="V24" s="446"/>
      <c r="W24" s="196"/>
      <c r="X24" s="197"/>
      <c r="Y24" s="198"/>
      <c r="Z24" s="198"/>
      <c r="AA24" s="198"/>
      <c r="AB24" s="446"/>
      <c r="AC24" s="446"/>
      <c r="AD24" s="446"/>
      <c r="AE24" s="446"/>
      <c r="AF24" s="196"/>
      <c r="AG24" s="197"/>
      <c r="AH24" s="198"/>
      <c r="AI24" s="198"/>
      <c r="AJ24" s="198"/>
      <c r="AK24" s="446"/>
      <c r="AL24" s="446"/>
      <c r="AM24" s="446"/>
      <c r="AN24" s="446"/>
      <c r="AO24" s="196" t="s">
        <v>236</v>
      </c>
      <c r="AP24" s="197">
        <v>200</v>
      </c>
      <c r="AQ24" s="198"/>
      <c r="AR24" s="198"/>
      <c r="AS24" s="198" t="s">
        <v>147</v>
      </c>
      <c r="AT24" s="446"/>
      <c r="AU24" s="446"/>
      <c r="AV24" s="446"/>
      <c r="AW24" s="446"/>
      <c r="AX24" s="196"/>
      <c r="AY24" s="197"/>
      <c r="AZ24" s="198"/>
      <c r="BA24" s="198"/>
      <c r="BB24" s="198"/>
      <c r="BC24" s="446"/>
      <c r="BD24" s="446"/>
      <c r="BE24" s="446"/>
      <c r="BF24" s="446"/>
      <c r="BG24" s="196"/>
      <c r="BH24" s="197"/>
      <c r="BI24" s="198"/>
      <c r="BJ24" s="198"/>
      <c r="BK24" s="198"/>
      <c r="BL24" s="446"/>
      <c r="BM24" s="446"/>
      <c r="BN24" s="446"/>
      <c r="BO24" s="446"/>
      <c r="BP24" s="196"/>
      <c r="BQ24" s="197"/>
      <c r="BR24" s="198"/>
      <c r="BS24" s="198"/>
      <c r="BT24" s="198"/>
      <c r="BU24" s="446"/>
      <c r="BV24" s="446"/>
      <c r="BW24" s="446"/>
      <c r="BX24" s="446"/>
      <c r="BY24" s="196"/>
      <c r="BZ24" s="197"/>
      <c r="CA24" s="198"/>
      <c r="CB24" s="198"/>
      <c r="CC24" s="198"/>
      <c r="CD24" s="446"/>
      <c r="CE24" s="446"/>
      <c r="CF24" s="446"/>
      <c r="CG24" s="446"/>
    </row>
    <row r="25" spans="1:85" s="49" customFormat="1" x14ac:dyDescent="0.3">
      <c r="A25" s="193"/>
      <c r="C25" t="str">
        <f t="shared" si="1"/>
        <v xml:space="preserve"> </v>
      </c>
      <c r="D25" s="195">
        <v>19</v>
      </c>
      <c r="E25" s="196"/>
      <c r="F25" s="197"/>
      <c r="G25" s="198"/>
      <c r="H25" s="198"/>
      <c r="I25" s="198"/>
      <c r="J25" s="446"/>
      <c r="K25" s="446"/>
      <c r="L25" s="446"/>
      <c r="M25" s="446"/>
      <c r="N25" s="196"/>
      <c r="O25" s="197">
        <v>100</v>
      </c>
      <c r="P25" s="198">
        <v>0</v>
      </c>
      <c r="Q25" s="198">
        <v>0</v>
      </c>
      <c r="R25" s="198" t="s">
        <v>147</v>
      </c>
      <c r="S25" s="446"/>
      <c r="T25" s="446"/>
      <c r="U25" s="446"/>
      <c r="V25" s="446"/>
      <c r="W25" s="196"/>
      <c r="X25" s="197"/>
      <c r="Y25" s="198"/>
      <c r="Z25" s="198"/>
      <c r="AA25" s="198"/>
      <c r="AB25" s="446"/>
      <c r="AC25" s="446"/>
      <c r="AD25" s="446"/>
      <c r="AE25" s="446"/>
      <c r="AF25" s="196"/>
      <c r="AG25" s="197"/>
      <c r="AH25" s="198"/>
      <c r="AI25" s="198"/>
      <c r="AJ25" s="198"/>
      <c r="AK25" s="446"/>
      <c r="AL25" s="446"/>
      <c r="AM25" s="446"/>
      <c r="AN25" s="446"/>
      <c r="AO25" s="196"/>
      <c r="AP25" s="197"/>
      <c r="AQ25" s="198"/>
      <c r="AR25" s="198"/>
      <c r="AS25" s="198"/>
      <c r="AT25" s="446"/>
      <c r="AU25" s="446"/>
      <c r="AV25" s="446"/>
      <c r="AW25" s="446"/>
      <c r="AX25" s="196"/>
      <c r="AY25" s="197"/>
      <c r="AZ25" s="198"/>
      <c r="BA25" s="198"/>
      <c r="BB25" s="198"/>
      <c r="BC25" s="446"/>
      <c r="BD25" s="446"/>
      <c r="BE25" s="446"/>
      <c r="BF25" s="446"/>
      <c r="BG25" s="196"/>
      <c r="BH25" s="197"/>
      <c r="BI25" s="198"/>
      <c r="BJ25" s="198"/>
      <c r="BK25" s="198"/>
      <c r="BL25" s="446"/>
      <c r="BM25" s="446"/>
      <c r="BN25" s="446"/>
      <c r="BO25" s="446"/>
      <c r="BP25" s="196"/>
      <c r="BQ25" s="197"/>
      <c r="BR25" s="198"/>
      <c r="BS25" s="198"/>
      <c r="BT25" s="198"/>
      <c r="BU25" s="446"/>
      <c r="BV25" s="446"/>
      <c r="BW25" s="446"/>
      <c r="BX25" s="446"/>
      <c r="BY25" s="196"/>
      <c r="BZ25" s="197"/>
      <c r="CA25" s="198"/>
      <c r="CB25" s="198"/>
      <c r="CC25" s="198"/>
      <c r="CD25" s="446"/>
      <c r="CE25" s="446"/>
      <c r="CF25" s="446"/>
      <c r="CG25" s="446"/>
    </row>
    <row r="26" spans="1:85" s="49" customFormat="1" x14ac:dyDescent="0.3">
      <c r="A26" s="193"/>
      <c r="C26" t="str">
        <f t="shared" si="1"/>
        <v xml:space="preserve"> </v>
      </c>
      <c r="D26" s="195">
        <v>20</v>
      </c>
      <c r="E26" s="196"/>
      <c r="F26" s="197"/>
      <c r="G26" s="198"/>
      <c r="H26" s="198"/>
      <c r="I26" s="198"/>
      <c r="J26" s="446"/>
      <c r="K26" s="446"/>
      <c r="L26" s="446"/>
      <c r="M26" s="446"/>
      <c r="N26" s="196"/>
      <c r="O26" s="197">
        <v>200</v>
      </c>
      <c r="P26" s="198">
        <v>0</v>
      </c>
      <c r="Q26" s="198">
        <v>0</v>
      </c>
      <c r="R26" s="198" t="s">
        <v>147</v>
      </c>
      <c r="S26" s="446"/>
      <c r="T26" s="446"/>
      <c r="U26" s="446"/>
      <c r="V26" s="446"/>
      <c r="W26" s="196"/>
      <c r="X26" s="197"/>
      <c r="Y26" s="198"/>
      <c r="Z26" s="198"/>
      <c r="AA26" s="198"/>
      <c r="AB26" s="446"/>
      <c r="AC26" s="446"/>
      <c r="AD26" s="446"/>
      <c r="AE26" s="446"/>
      <c r="AF26" s="196"/>
      <c r="AG26" s="197"/>
      <c r="AH26" s="198"/>
      <c r="AI26" s="198"/>
      <c r="AJ26" s="198"/>
      <c r="AK26" s="446"/>
      <c r="AL26" s="446"/>
      <c r="AM26" s="446"/>
      <c r="AN26" s="446"/>
      <c r="AO26" s="196"/>
      <c r="AP26" s="197"/>
      <c r="AQ26" s="198"/>
      <c r="AR26" s="198"/>
      <c r="AS26" s="198"/>
      <c r="AT26" s="446"/>
      <c r="AU26" s="446"/>
      <c r="AV26" s="446"/>
      <c r="AW26" s="446"/>
      <c r="AX26" s="196"/>
      <c r="AY26" s="197"/>
      <c r="AZ26" s="198"/>
      <c r="BA26" s="198"/>
      <c r="BB26" s="198"/>
      <c r="BC26" s="446"/>
      <c r="BD26" s="446"/>
      <c r="BE26" s="446"/>
      <c r="BF26" s="446"/>
      <c r="BG26" s="196"/>
      <c r="BH26" s="197"/>
      <c r="BI26" s="198"/>
      <c r="BJ26" s="198"/>
      <c r="BK26" s="198"/>
      <c r="BL26" s="446"/>
      <c r="BM26" s="446"/>
      <c r="BN26" s="446"/>
      <c r="BO26" s="446"/>
      <c r="BP26" s="196"/>
      <c r="BQ26" s="197"/>
      <c r="BR26" s="198"/>
      <c r="BS26" s="198"/>
      <c r="BT26" s="198"/>
      <c r="BU26" s="446"/>
      <c r="BV26" s="446"/>
      <c r="BW26" s="446"/>
      <c r="BX26" s="446"/>
      <c r="BY26" s="196"/>
      <c r="BZ26" s="197"/>
      <c r="CA26" s="198"/>
      <c r="CB26" s="198"/>
      <c r="CC26" s="198"/>
      <c r="CD26" s="446"/>
      <c r="CE26" s="446"/>
      <c r="CF26" s="446"/>
      <c r="CG26" s="446"/>
    </row>
    <row r="27" spans="1:85" x14ac:dyDescent="0.3">
      <c r="A27" s="181"/>
      <c r="C27" t="str">
        <f t="shared" si="1"/>
        <v xml:space="preserve"> </v>
      </c>
      <c r="J27" s="451"/>
      <c r="K27" s="451"/>
      <c r="L27" s="451"/>
      <c r="M27" s="451"/>
      <c r="W27" s="49"/>
      <c r="X27" s="49"/>
      <c r="Y27" s="49"/>
      <c r="Z27" s="49"/>
      <c r="AA27" s="49"/>
      <c r="AB27" s="451"/>
      <c r="AC27" s="451"/>
      <c r="AD27" s="451"/>
      <c r="AE27" s="451"/>
      <c r="AK27" s="451"/>
      <c r="AL27" s="451"/>
      <c r="AM27" s="451"/>
      <c r="AN27" s="451"/>
      <c r="AT27" s="451"/>
      <c r="AU27" s="451"/>
      <c r="AV27" s="451"/>
      <c r="AW27" s="451"/>
      <c r="BC27" s="451"/>
      <c r="BD27" s="451"/>
      <c r="BE27" s="451"/>
      <c r="BF27" s="451"/>
      <c r="BL27" s="451"/>
      <c r="BM27" s="451"/>
      <c r="BN27" s="451"/>
      <c r="BO27" s="451"/>
      <c r="BU27" s="451"/>
      <c r="BV27" s="451"/>
      <c r="BW27" s="451"/>
      <c r="BX27" s="451"/>
      <c r="CD27" s="451"/>
      <c r="CE27" s="451"/>
      <c r="CF27" s="451"/>
      <c r="CG27" s="451"/>
    </row>
    <row r="28" spans="1:85" x14ac:dyDescent="0.3">
      <c r="A28" s="181"/>
      <c r="C28" t="str">
        <f t="shared" si="1"/>
        <v xml:space="preserve"> </v>
      </c>
      <c r="J28" s="451"/>
      <c r="K28" s="451"/>
      <c r="L28" s="451"/>
      <c r="M28" s="451"/>
      <c r="W28" s="49"/>
      <c r="X28" s="49"/>
      <c r="Y28" s="49"/>
      <c r="Z28" s="49"/>
      <c r="AA28" s="49"/>
      <c r="AB28" s="451"/>
      <c r="AC28" s="451"/>
      <c r="AD28" s="451"/>
      <c r="AE28" s="451"/>
      <c r="AK28" s="451"/>
      <c r="AL28" s="451"/>
      <c r="AM28" s="451"/>
      <c r="AN28" s="451"/>
      <c r="AT28" s="451"/>
      <c r="AU28" s="451"/>
      <c r="AV28" s="451"/>
      <c r="AW28" s="451"/>
      <c r="BC28" s="451"/>
      <c r="BD28" s="451"/>
      <c r="BE28" s="451"/>
      <c r="BF28" s="451"/>
      <c r="BL28" s="451"/>
      <c r="BM28" s="451"/>
      <c r="BN28" s="451"/>
      <c r="BO28" s="451"/>
      <c r="BU28" s="451"/>
      <c r="BV28" s="451"/>
      <c r="BW28" s="451"/>
      <c r="BX28" s="451"/>
      <c r="CD28" s="451"/>
      <c r="CE28" s="451"/>
      <c r="CF28" s="451"/>
      <c r="CG28" s="451"/>
    </row>
    <row r="29" spans="1:85" x14ac:dyDescent="0.3">
      <c r="A29" s="181"/>
      <c r="C29" t="str">
        <f t="shared" si="1"/>
        <v xml:space="preserve"> </v>
      </c>
      <c r="J29" s="451"/>
      <c r="K29" s="451"/>
      <c r="L29" s="451"/>
      <c r="M29" s="451"/>
      <c r="AB29" s="451"/>
      <c r="AC29" s="451"/>
      <c r="AD29" s="451"/>
      <c r="AE29" s="451"/>
      <c r="AK29" s="451"/>
      <c r="AL29" s="451"/>
      <c r="AM29" s="451"/>
      <c r="AN29" s="451"/>
      <c r="AT29" s="451"/>
      <c r="AU29" s="451"/>
      <c r="AV29" s="451"/>
      <c r="AW29" s="451"/>
      <c r="BC29" s="451"/>
      <c r="BD29" s="451"/>
      <c r="BE29" s="451"/>
      <c r="BF29" s="451"/>
      <c r="BL29" s="451"/>
      <c r="BM29" s="451"/>
      <c r="BN29" s="451"/>
      <c r="BO29" s="451"/>
      <c r="BU29" s="451"/>
      <c r="BV29" s="451"/>
      <c r="BW29" s="451"/>
      <c r="BX29" s="451"/>
      <c r="CD29" s="451"/>
      <c r="CE29" s="451"/>
      <c r="CF29" s="451"/>
      <c r="CG29" s="451"/>
    </row>
    <row r="30" spans="1:85" x14ac:dyDescent="0.3">
      <c r="A30" s="181"/>
      <c r="C30" t="str">
        <f t="shared" si="1"/>
        <v xml:space="preserve"> </v>
      </c>
      <c r="J30" s="451"/>
      <c r="K30" s="451"/>
      <c r="L30" s="451"/>
      <c r="M30" s="451"/>
      <c r="AK30" s="451"/>
      <c r="AL30" s="451"/>
      <c r="AM30" s="451"/>
      <c r="AN30" s="451"/>
      <c r="AT30" s="451"/>
      <c r="AU30" s="451"/>
      <c r="AV30" s="451"/>
      <c r="AW30" s="451"/>
      <c r="BC30" s="451"/>
      <c r="BD30" s="451"/>
      <c r="BE30" s="451"/>
      <c r="BF30" s="451"/>
      <c r="BL30" s="451"/>
      <c r="BM30" s="451"/>
      <c r="BN30" s="451"/>
      <c r="BO30" s="451"/>
      <c r="BU30" s="451"/>
      <c r="BV30" s="451"/>
      <c r="BW30" s="451"/>
      <c r="BX30" s="451"/>
      <c r="CD30" s="451"/>
      <c r="CE30" s="451"/>
      <c r="CF30" s="451"/>
      <c r="CG30" s="451"/>
    </row>
    <row r="31" spans="1:85" x14ac:dyDescent="0.3">
      <c r="A31" s="181"/>
      <c r="C31" t="str">
        <f t="shared" si="1"/>
        <v xml:space="preserve"> </v>
      </c>
      <c r="CD31" s="41"/>
      <c r="CE31" s="41"/>
      <c r="CF31" s="41"/>
      <c r="CG31" s="41"/>
    </row>
    <row r="32" spans="1:85" x14ac:dyDescent="0.3">
      <c r="A32" s="181"/>
    </row>
    <row r="33" spans="1:1" x14ac:dyDescent="0.3">
      <c r="A33" s="181"/>
    </row>
    <row r="34" spans="1:1" x14ac:dyDescent="0.3">
      <c r="A34" s="181"/>
    </row>
    <row r="35" spans="1:1" x14ac:dyDescent="0.3">
      <c r="A35" s="181"/>
    </row>
    <row r="36" spans="1:1" x14ac:dyDescent="0.3">
      <c r="A36" s="181"/>
    </row>
    <row r="37" spans="1:1" x14ac:dyDescent="0.3">
      <c r="A37" s="181"/>
    </row>
    <row r="38" spans="1:1" x14ac:dyDescent="0.3">
      <c r="A38" s="181"/>
    </row>
    <row r="39" spans="1:1" x14ac:dyDescent="0.3">
      <c r="A39" s="181"/>
    </row>
    <row r="40" spans="1:1" x14ac:dyDescent="0.3">
      <c r="A40" s="181"/>
    </row>
    <row r="41" spans="1:1" x14ac:dyDescent="0.3">
      <c r="A41" s="181"/>
    </row>
    <row r="42" spans="1:1" x14ac:dyDescent="0.3">
      <c r="A42" s="181"/>
    </row>
    <row r="43" spans="1:1" x14ac:dyDescent="0.3">
      <c r="A43" s="181"/>
    </row>
    <row r="44" spans="1:1" x14ac:dyDescent="0.3">
      <c r="A44" s="181"/>
    </row>
    <row r="45" spans="1:1" x14ac:dyDescent="0.3">
      <c r="A45" s="181"/>
    </row>
    <row r="46" spans="1:1" x14ac:dyDescent="0.3">
      <c r="A46" s="18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6</vt:i4>
      </vt:variant>
      <vt:variant>
        <vt:lpstr>Namngivna områden</vt:lpstr>
      </vt:variant>
      <vt:variant>
        <vt:i4>2</vt:i4>
      </vt:variant>
    </vt:vector>
  </HeadingPairs>
  <TitlesOfParts>
    <vt:vector size="8" baseType="lpstr">
      <vt:lpstr>Sag-Tension</vt:lpstr>
      <vt:lpstr>Sag-Tension print</vt:lpstr>
      <vt:lpstr>Regleringstabell</vt:lpstr>
      <vt:lpstr>LoadCalcData</vt:lpstr>
      <vt:lpstr>Conductors SS-EN 50341-3-18</vt:lpstr>
      <vt:lpstr>Loadcases</vt:lpstr>
      <vt:lpstr>Regleringstabell!Utskriftsområde</vt:lpstr>
      <vt:lpstr>'Sag-Tension print'!Utskriftsområde</vt:lpstr>
    </vt:vector>
  </TitlesOfParts>
  <Company>WSP Group Plc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Eriksson, Lars</dc:creator>
  <cp:lastModifiedBy>Eriksson, Lars</cp:lastModifiedBy>
  <cp:lastPrinted>2017-09-01T09:39:09Z</cp:lastPrinted>
  <dcterms:created xsi:type="dcterms:W3CDTF">2017-01-04T20:54:19Z</dcterms:created>
  <dcterms:modified xsi:type="dcterms:W3CDTF">2020-11-18T21:48:23Z</dcterms:modified>
</cp:coreProperties>
</file>